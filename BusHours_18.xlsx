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zorakramer/Transit/"/>
    </mc:Choice>
  </mc:AlternateContent>
  <xr:revisionPtr revIDLastSave="0" documentId="8_{A3927C9E-BDD2-A04A-B15C-00649E740FBA}" xr6:coauthVersionLast="47" xr6:coauthVersionMax="47" xr10:uidLastSave="{00000000-0000-0000-0000-000000000000}"/>
  <bookViews>
    <workbookView xWindow="0" yWindow="0" windowWidth="19800" windowHeight="18000" activeTab="1" xr2:uid="{00000000-000D-0000-FFFF-FFFF00000000}"/>
  </bookViews>
  <sheets>
    <sheet name="18_MF_NB" sheetId="1" r:id="rId1"/>
    <sheet name="18_MF_SB" sheetId="2" r:id="rId2"/>
    <sheet name="18_Weekends_NB" sheetId="3" r:id="rId3"/>
    <sheet name="18_Weekend_S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4" l="1"/>
  <c r="V54" i="4" s="1"/>
  <c r="J54" i="4"/>
  <c r="U54" i="4" s="1"/>
  <c r="I54" i="4"/>
  <c r="T54" i="4" s="1"/>
  <c r="H54" i="4"/>
  <c r="S54" i="4" s="1"/>
  <c r="G54" i="4"/>
  <c r="R54" i="4" s="1"/>
  <c r="F54" i="4"/>
  <c r="Q54" i="4" s="1"/>
  <c r="E54" i="4"/>
  <c r="P54" i="4" s="1"/>
  <c r="D54" i="4"/>
  <c r="O54" i="4" s="1"/>
  <c r="C54" i="4"/>
  <c r="N54" i="4" s="1"/>
  <c r="B54" i="4"/>
  <c r="M54" i="4" s="1"/>
  <c r="K53" i="4"/>
  <c r="V53" i="4" s="1"/>
  <c r="J53" i="4"/>
  <c r="U53" i="4" s="1"/>
  <c r="I53" i="4"/>
  <c r="T53" i="4" s="1"/>
  <c r="H53" i="4"/>
  <c r="S53" i="4" s="1"/>
  <c r="G53" i="4"/>
  <c r="R53" i="4" s="1"/>
  <c r="F53" i="4"/>
  <c r="Q53" i="4" s="1"/>
  <c r="E53" i="4"/>
  <c r="P53" i="4" s="1"/>
  <c r="D53" i="4"/>
  <c r="O53" i="4" s="1"/>
  <c r="C53" i="4"/>
  <c r="N53" i="4" s="1"/>
  <c r="B53" i="4"/>
  <c r="M53" i="4" s="1"/>
  <c r="K52" i="4"/>
  <c r="V52" i="4" s="1"/>
  <c r="J52" i="4"/>
  <c r="U52" i="4" s="1"/>
  <c r="I52" i="4"/>
  <c r="T52" i="4" s="1"/>
  <c r="H52" i="4"/>
  <c r="S52" i="4" s="1"/>
  <c r="G52" i="4"/>
  <c r="R52" i="4" s="1"/>
  <c r="F52" i="4"/>
  <c r="Q52" i="4" s="1"/>
  <c r="E52" i="4"/>
  <c r="P52" i="4" s="1"/>
  <c r="D52" i="4"/>
  <c r="O52" i="4" s="1"/>
  <c r="C52" i="4"/>
  <c r="N52" i="4" s="1"/>
  <c r="B52" i="4"/>
  <c r="M52" i="4" s="1"/>
  <c r="K51" i="4"/>
  <c r="V51" i="4" s="1"/>
  <c r="J51" i="4"/>
  <c r="U51" i="4" s="1"/>
  <c r="I51" i="4"/>
  <c r="T51" i="4" s="1"/>
  <c r="H51" i="4"/>
  <c r="S51" i="4" s="1"/>
  <c r="G51" i="4"/>
  <c r="R51" i="4" s="1"/>
  <c r="F51" i="4"/>
  <c r="Q51" i="4" s="1"/>
  <c r="E51" i="4"/>
  <c r="P51" i="4" s="1"/>
  <c r="D51" i="4"/>
  <c r="O51" i="4" s="1"/>
  <c r="C51" i="4"/>
  <c r="N51" i="4" s="1"/>
  <c r="B51" i="4"/>
  <c r="M51" i="4" s="1"/>
  <c r="K50" i="4"/>
  <c r="V50" i="4" s="1"/>
  <c r="J50" i="4"/>
  <c r="U50" i="4" s="1"/>
  <c r="I50" i="4"/>
  <c r="T50" i="4" s="1"/>
  <c r="H50" i="4"/>
  <c r="S50" i="4" s="1"/>
  <c r="G50" i="4"/>
  <c r="R50" i="4" s="1"/>
  <c r="F50" i="4"/>
  <c r="Q50" i="4" s="1"/>
  <c r="E50" i="4"/>
  <c r="P50" i="4" s="1"/>
  <c r="D50" i="4"/>
  <c r="O50" i="4" s="1"/>
  <c r="C50" i="4"/>
  <c r="N50" i="4" s="1"/>
  <c r="B50" i="4"/>
  <c r="M50" i="4" s="1"/>
  <c r="K49" i="4"/>
  <c r="V49" i="4" s="1"/>
  <c r="J49" i="4"/>
  <c r="U49" i="4" s="1"/>
  <c r="I49" i="4"/>
  <c r="T49" i="4" s="1"/>
  <c r="H49" i="4"/>
  <c r="S49" i="4" s="1"/>
  <c r="G49" i="4"/>
  <c r="R49" i="4" s="1"/>
  <c r="F49" i="4"/>
  <c r="Q49" i="4" s="1"/>
  <c r="E49" i="4"/>
  <c r="P49" i="4" s="1"/>
  <c r="D49" i="4"/>
  <c r="O49" i="4" s="1"/>
  <c r="C49" i="4"/>
  <c r="N49" i="4" s="1"/>
  <c r="B49" i="4"/>
  <c r="M49" i="4" s="1"/>
  <c r="K48" i="4"/>
  <c r="V48" i="4" s="1"/>
  <c r="J48" i="4"/>
  <c r="U48" i="4" s="1"/>
  <c r="I48" i="4"/>
  <c r="T48" i="4" s="1"/>
  <c r="H48" i="4"/>
  <c r="S48" i="4" s="1"/>
  <c r="G48" i="4"/>
  <c r="R48" i="4" s="1"/>
  <c r="F48" i="4"/>
  <c r="Q48" i="4" s="1"/>
  <c r="E48" i="4"/>
  <c r="P48" i="4" s="1"/>
  <c r="D48" i="4"/>
  <c r="O48" i="4" s="1"/>
  <c r="C48" i="4"/>
  <c r="N48" i="4" s="1"/>
  <c r="B48" i="4"/>
  <c r="M48" i="4" s="1"/>
  <c r="T47" i="4"/>
  <c r="K47" i="4"/>
  <c r="V47" i="4" s="1"/>
  <c r="J47" i="4"/>
  <c r="U47" i="4" s="1"/>
  <c r="I47" i="4"/>
  <c r="H47" i="4"/>
  <c r="S47" i="4" s="1"/>
  <c r="G47" i="4"/>
  <c r="R47" i="4" s="1"/>
  <c r="F47" i="4"/>
  <c r="Q47" i="4" s="1"/>
  <c r="E47" i="4"/>
  <c r="P47" i="4" s="1"/>
  <c r="D47" i="4"/>
  <c r="O47" i="4" s="1"/>
  <c r="C47" i="4"/>
  <c r="N47" i="4" s="1"/>
  <c r="B47" i="4"/>
  <c r="M47" i="4" s="1"/>
  <c r="K46" i="4"/>
  <c r="V46" i="4" s="1"/>
  <c r="J46" i="4"/>
  <c r="U46" i="4" s="1"/>
  <c r="I46" i="4"/>
  <c r="T46" i="4" s="1"/>
  <c r="H46" i="4"/>
  <c r="S46" i="4" s="1"/>
  <c r="G46" i="4"/>
  <c r="R46" i="4" s="1"/>
  <c r="F46" i="4"/>
  <c r="Q46" i="4" s="1"/>
  <c r="E46" i="4"/>
  <c r="P46" i="4" s="1"/>
  <c r="D46" i="4"/>
  <c r="O46" i="4" s="1"/>
  <c r="C46" i="4"/>
  <c r="N46" i="4" s="1"/>
  <c r="B46" i="4"/>
  <c r="M46" i="4" s="1"/>
  <c r="K45" i="4"/>
  <c r="V45" i="4" s="1"/>
  <c r="J45" i="4"/>
  <c r="U45" i="4" s="1"/>
  <c r="I45" i="4"/>
  <c r="T45" i="4" s="1"/>
  <c r="H45" i="4"/>
  <c r="S45" i="4" s="1"/>
  <c r="G45" i="4"/>
  <c r="R45" i="4" s="1"/>
  <c r="F45" i="4"/>
  <c r="Q45" i="4" s="1"/>
  <c r="E45" i="4"/>
  <c r="P45" i="4" s="1"/>
  <c r="D45" i="4"/>
  <c r="O45" i="4" s="1"/>
  <c r="C45" i="4"/>
  <c r="N45" i="4" s="1"/>
  <c r="B45" i="4"/>
  <c r="M45" i="4" s="1"/>
  <c r="K44" i="4"/>
  <c r="V44" i="4" s="1"/>
  <c r="J44" i="4"/>
  <c r="U44" i="4" s="1"/>
  <c r="I44" i="4"/>
  <c r="T44" i="4" s="1"/>
  <c r="H44" i="4"/>
  <c r="S44" i="4" s="1"/>
  <c r="G44" i="4"/>
  <c r="R44" i="4" s="1"/>
  <c r="F44" i="4"/>
  <c r="Q44" i="4" s="1"/>
  <c r="E44" i="4"/>
  <c r="P44" i="4" s="1"/>
  <c r="D44" i="4"/>
  <c r="O44" i="4" s="1"/>
  <c r="C44" i="4"/>
  <c r="N44" i="4" s="1"/>
  <c r="B44" i="4"/>
  <c r="M44" i="4" s="1"/>
  <c r="K43" i="4"/>
  <c r="V43" i="4" s="1"/>
  <c r="J43" i="4"/>
  <c r="U43" i="4" s="1"/>
  <c r="I43" i="4"/>
  <c r="T43" i="4" s="1"/>
  <c r="H43" i="4"/>
  <c r="S43" i="4" s="1"/>
  <c r="G43" i="4"/>
  <c r="R43" i="4" s="1"/>
  <c r="F43" i="4"/>
  <c r="Q43" i="4" s="1"/>
  <c r="E43" i="4"/>
  <c r="P43" i="4" s="1"/>
  <c r="D43" i="4"/>
  <c r="O43" i="4" s="1"/>
  <c r="C43" i="4"/>
  <c r="N43" i="4" s="1"/>
  <c r="B43" i="4"/>
  <c r="M43" i="4" s="1"/>
  <c r="K42" i="4"/>
  <c r="V42" i="4" s="1"/>
  <c r="J42" i="4"/>
  <c r="U42" i="4" s="1"/>
  <c r="I42" i="4"/>
  <c r="T42" i="4" s="1"/>
  <c r="H42" i="4"/>
  <c r="S42" i="4" s="1"/>
  <c r="G42" i="4"/>
  <c r="R42" i="4" s="1"/>
  <c r="F42" i="4"/>
  <c r="Q42" i="4" s="1"/>
  <c r="E42" i="4"/>
  <c r="P42" i="4" s="1"/>
  <c r="D42" i="4"/>
  <c r="O42" i="4" s="1"/>
  <c r="C42" i="4"/>
  <c r="N42" i="4" s="1"/>
  <c r="B42" i="4"/>
  <c r="M42" i="4" s="1"/>
  <c r="K41" i="4"/>
  <c r="V41" i="4" s="1"/>
  <c r="J41" i="4"/>
  <c r="U41" i="4" s="1"/>
  <c r="I41" i="4"/>
  <c r="T41" i="4" s="1"/>
  <c r="H41" i="4"/>
  <c r="S41" i="4" s="1"/>
  <c r="G41" i="4"/>
  <c r="R41" i="4" s="1"/>
  <c r="F41" i="4"/>
  <c r="Q41" i="4" s="1"/>
  <c r="E41" i="4"/>
  <c r="P41" i="4" s="1"/>
  <c r="D41" i="4"/>
  <c r="O41" i="4" s="1"/>
  <c r="C41" i="4"/>
  <c r="N41" i="4" s="1"/>
  <c r="B41" i="4"/>
  <c r="M41" i="4" s="1"/>
  <c r="K40" i="4"/>
  <c r="V40" i="4" s="1"/>
  <c r="J40" i="4"/>
  <c r="U40" i="4" s="1"/>
  <c r="I40" i="4"/>
  <c r="T40" i="4" s="1"/>
  <c r="H40" i="4"/>
  <c r="S40" i="4" s="1"/>
  <c r="G40" i="4"/>
  <c r="R40" i="4" s="1"/>
  <c r="F40" i="4"/>
  <c r="Q40" i="4" s="1"/>
  <c r="E40" i="4"/>
  <c r="P40" i="4" s="1"/>
  <c r="D40" i="4"/>
  <c r="O40" i="4" s="1"/>
  <c r="C40" i="4"/>
  <c r="N40" i="4" s="1"/>
  <c r="B40" i="4"/>
  <c r="M40" i="4" s="1"/>
  <c r="K39" i="4"/>
  <c r="V39" i="4" s="1"/>
  <c r="J39" i="4"/>
  <c r="U39" i="4" s="1"/>
  <c r="I39" i="4"/>
  <c r="T39" i="4" s="1"/>
  <c r="H39" i="4"/>
  <c r="S39" i="4" s="1"/>
  <c r="G39" i="4"/>
  <c r="R39" i="4" s="1"/>
  <c r="F39" i="4"/>
  <c r="Q39" i="4" s="1"/>
  <c r="E39" i="4"/>
  <c r="P39" i="4" s="1"/>
  <c r="D39" i="4"/>
  <c r="O39" i="4" s="1"/>
  <c r="C39" i="4"/>
  <c r="N39" i="4" s="1"/>
  <c r="B39" i="4"/>
  <c r="M39" i="4" s="1"/>
  <c r="K38" i="4"/>
  <c r="V38" i="4" s="1"/>
  <c r="J38" i="4"/>
  <c r="U38" i="4" s="1"/>
  <c r="I38" i="4"/>
  <c r="T38" i="4" s="1"/>
  <c r="H38" i="4"/>
  <c r="S38" i="4" s="1"/>
  <c r="G38" i="4"/>
  <c r="R38" i="4" s="1"/>
  <c r="F38" i="4"/>
  <c r="Q38" i="4" s="1"/>
  <c r="E38" i="4"/>
  <c r="P38" i="4" s="1"/>
  <c r="D38" i="4"/>
  <c r="O38" i="4" s="1"/>
  <c r="C38" i="4"/>
  <c r="N38" i="4" s="1"/>
  <c r="B38" i="4"/>
  <c r="M38" i="4" s="1"/>
  <c r="K37" i="4"/>
  <c r="V37" i="4" s="1"/>
  <c r="J37" i="4"/>
  <c r="U37" i="4" s="1"/>
  <c r="I37" i="4"/>
  <c r="T37" i="4" s="1"/>
  <c r="H37" i="4"/>
  <c r="S37" i="4" s="1"/>
  <c r="G37" i="4"/>
  <c r="R37" i="4" s="1"/>
  <c r="F37" i="4"/>
  <c r="Q37" i="4" s="1"/>
  <c r="E37" i="4"/>
  <c r="P37" i="4" s="1"/>
  <c r="D37" i="4"/>
  <c r="O37" i="4" s="1"/>
  <c r="C37" i="4"/>
  <c r="N37" i="4" s="1"/>
  <c r="B37" i="4"/>
  <c r="M37" i="4" s="1"/>
  <c r="K36" i="4"/>
  <c r="V36" i="4" s="1"/>
  <c r="J36" i="4"/>
  <c r="U36" i="4" s="1"/>
  <c r="I36" i="4"/>
  <c r="T36" i="4" s="1"/>
  <c r="H36" i="4"/>
  <c r="S36" i="4" s="1"/>
  <c r="G36" i="4"/>
  <c r="R36" i="4" s="1"/>
  <c r="F36" i="4"/>
  <c r="Q36" i="4" s="1"/>
  <c r="E36" i="4"/>
  <c r="P36" i="4" s="1"/>
  <c r="D36" i="4"/>
  <c r="O36" i="4" s="1"/>
  <c r="C36" i="4"/>
  <c r="N36" i="4" s="1"/>
  <c r="B36" i="4"/>
  <c r="M36" i="4" s="1"/>
  <c r="K35" i="4"/>
  <c r="V35" i="4" s="1"/>
  <c r="J35" i="4"/>
  <c r="U35" i="4" s="1"/>
  <c r="I35" i="4"/>
  <c r="T35" i="4" s="1"/>
  <c r="H35" i="4"/>
  <c r="S35" i="4" s="1"/>
  <c r="G35" i="4"/>
  <c r="R35" i="4" s="1"/>
  <c r="F35" i="4"/>
  <c r="Q35" i="4" s="1"/>
  <c r="E35" i="4"/>
  <c r="P35" i="4" s="1"/>
  <c r="D35" i="4"/>
  <c r="O35" i="4" s="1"/>
  <c r="C35" i="4"/>
  <c r="N35" i="4" s="1"/>
  <c r="B35" i="4"/>
  <c r="M35" i="4" s="1"/>
  <c r="K34" i="4"/>
  <c r="V34" i="4" s="1"/>
  <c r="J34" i="4"/>
  <c r="U34" i="4" s="1"/>
  <c r="I34" i="4"/>
  <c r="T34" i="4" s="1"/>
  <c r="H34" i="4"/>
  <c r="S34" i="4" s="1"/>
  <c r="G34" i="4"/>
  <c r="R34" i="4" s="1"/>
  <c r="F34" i="4"/>
  <c r="Q34" i="4" s="1"/>
  <c r="E34" i="4"/>
  <c r="P34" i="4" s="1"/>
  <c r="D34" i="4"/>
  <c r="O34" i="4" s="1"/>
  <c r="C34" i="4"/>
  <c r="N34" i="4" s="1"/>
  <c r="B34" i="4"/>
  <c r="M34" i="4" s="1"/>
  <c r="K33" i="4"/>
  <c r="V33" i="4" s="1"/>
  <c r="J33" i="4"/>
  <c r="U33" i="4" s="1"/>
  <c r="I33" i="4"/>
  <c r="T33" i="4" s="1"/>
  <c r="H33" i="4"/>
  <c r="S33" i="4" s="1"/>
  <c r="G33" i="4"/>
  <c r="R33" i="4" s="1"/>
  <c r="F33" i="4"/>
  <c r="Q33" i="4" s="1"/>
  <c r="E33" i="4"/>
  <c r="P33" i="4" s="1"/>
  <c r="D33" i="4"/>
  <c r="O33" i="4" s="1"/>
  <c r="C33" i="4"/>
  <c r="N33" i="4" s="1"/>
  <c r="B33" i="4"/>
  <c r="M33" i="4" s="1"/>
  <c r="K32" i="4"/>
  <c r="V32" i="4" s="1"/>
  <c r="J32" i="4"/>
  <c r="U32" i="4" s="1"/>
  <c r="I32" i="4"/>
  <c r="T32" i="4" s="1"/>
  <c r="H32" i="4"/>
  <c r="S32" i="4" s="1"/>
  <c r="G32" i="4"/>
  <c r="R32" i="4" s="1"/>
  <c r="F32" i="4"/>
  <c r="Q32" i="4" s="1"/>
  <c r="E32" i="4"/>
  <c r="P32" i="4" s="1"/>
  <c r="D32" i="4"/>
  <c r="O32" i="4" s="1"/>
  <c r="C32" i="4"/>
  <c r="N32" i="4" s="1"/>
  <c r="B32" i="4"/>
  <c r="M32" i="4" s="1"/>
  <c r="K31" i="4"/>
  <c r="V31" i="4" s="1"/>
  <c r="J31" i="4"/>
  <c r="U31" i="4" s="1"/>
  <c r="I31" i="4"/>
  <c r="T31" i="4" s="1"/>
  <c r="H31" i="4"/>
  <c r="S31" i="4" s="1"/>
  <c r="G31" i="4"/>
  <c r="R31" i="4" s="1"/>
  <c r="F31" i="4"/>
  <c r="Q31" i="4" s="1"/>
  <c r="E31" i="4"/>
  <c r="P31" i="4" s="1"/>
  <c r="D31" i="4"/>
  <c r="O31" i="4" s="1"/>
  <c r="C31" i="4"/>
  <c r="N31" i="4" s="1"/>
  <c r="B31" i="4"/>
  <c r="M31" i="4" s="1"/>
  <c r="K30" i="4"/>
  <c r="V30" i="4" s="1"/>
  <c r="J30" i="4"/>
  <c r="U30" i="4" s="1"/>
  <c r="I30" i="4"/>
  <c r="T30" i="4" s="1"/>
  <c r="H30" i="4"/>
  <c r="S30" i="4" s="1"/>
  <c r="G30" i="4"/>
  <c r="R30" i="4" s="1"/>
  <c r="F30" i="4"/>
  <c r="Q30" i="4" s="1"/>
  <c r="E30" i="4"/>
  <c r="P30" i="4" s="1"/>
  <c r="D30" i="4"/>
  <c r="O30" i="4" s="1"/>
  <c r="C30" i="4"/>
  <c r="N30" i="4" s="1"/>
  <c r="B30" i="4"/>
  <c r="M30" i="4" s="1"/>
  <c r="K29" i="4"/>
  <c r="V29" i="4" s="1"/>
  <c r="J29" i="4"/>
  <c r="U29" i="4" s="1"/>
  <c r="I29" i="4"/>
  <c r="T29" i="4" s="1"/>
  <c r="H29" i="4"/>
  <c r="S29" i="4" s="1"/>
  <c r="G29" i="4"/>
  <c r="R29" i="4" s="1"/>
  <c r="F29" i="4"/>
  <c r="Q29" i="4" s="1"/>
  <c r="E29" i="4"/>
  <c r="P29" i="4" s="1"/>
  <c r="D29" i="4"/>
  <c r="O29" i="4" s="1"/>
  <c r="C29" i="4"/>
  <c r="N29" i="4" s="1"/>
  <c r="B29" i="4"/>
  <c r="M29" i="4" s="1"/>
  <c r="K28" i="4"/>
  <c r="V28" i="4" s="1"/>
  <c r="J28" i="4"/>
  <c r="U28" i="4" s="1"/>
  <c r="I28" i="4"/>
  <c r="T28" i="4" s="1"/>
  <c r="H28" i="4"/>
  <c r="S28" i="4" s="1"/>
  <c r="G28" i="4"/>
  <c r="R28" i="4" s="1"/>
  <c r="F28" i="4"/>
  <c r="Q28" i="4" s="1"/>
  <c r="E28" i="4"/>
  <c r="P28" i="4" s="1"/>
  <c r="D28" i="4"/>
  <c r="O28" i="4" s="1"/>
  <c r="C28" i="4"/>
  <c r="N28" i="4" s="1"/>
  <c r="B28" i="4"/>
  <c r="M28" i="4" s="1"/>
  <c r="K27" i="4"/>
  <c r="V27" i="4" s="1"/>
  <c r="J27" i="4"/>
  <c r="U27" i="4" s="1"/>
  <c r="I27" i="4"/>
  <c r="T27" i="4" s="1"/>
  <c r="H27" i="4"/>
  <c r="S27" i="4" s="1"/>
  <c r="G27" i="4"/>
  <c r="R27" i="4" s="1"/>
  <c r="F27" i="4"/>
  <c r="Q27" i="4" s="1"/>
  <c r="E27" i="4"/>
  <c r="P27" i="4" s="1"/>
  <c r="D27" i="4"/>
  <c r="O27" i="4" s="1"/>
  <c r="C27" i="4"/>
  <c r="N27" i="4" s="1"/>
  <c r="B27" i="4"/>
  <c r="M27" i="4" s="1"/>
  <c r="K26" i="4"/>
  <c r="V26" i="4" s="1"/>
  <c r="J26" i="4"/>
  <c r="U26" i="4" s="1"/>
  <c r="I26" i="4"/>
  <c r="T26" i="4" s="1"/>
  <c r="H26" i="4"/>
  <c r="S26" i="4" s="1"/>
  <c r="G26" i="4"/>
  <c r="R26" i="4" s="1"/>
  <c r="F26" i="4"/>
  <c r="Q26" i="4" s="1"/>
  <c r="E26" i="4"/>
  <c r="P26" i="4" s="1"/>
  <c r="D26" i="4"/>
  <c r="O26" i="4" s="1"/>
  <c r="C26" i="4"/>
  <c r="N26" i="4" s="1"/>
  <c r="B26" i="4"/>
  <c r="M26" i="4" s="1"/>
  <c r="K25" i="4"/>
  <c r="V25" i="4" s="1"/>
  <c r="J25" i="4"/>
  <c r="U25" i="4" s="1"/>
  <c r="I25" i="4"/>
  <c r="T25" i="4" s="1"/>
  <c r="H25" i="4"/>
  <c r="S25" i="4" s="1"/>
  <c r="G25" i="4"/>
  <c r="R25" i="4" s="1"/>
  <c r="F25" i="4"/>
  <c r="Q25" i="4" s="1"/>
  <c r="E25" i="4"/>
  <c r="P25" i="4" s="1"/>
  <c r="D25" i="4"/>
  <c r="O25" i="4" s="1"/>
  <c r="C25" i="4"/>
  <c r="N25" i="4" s="1"/>
  <c r="B25" i="4"/>
  <c r="M25" i="4" s="1"/>
  <c r="K24" i="4"/>
  <c r="V24" i="4" s="1"/>
  <c r="J24" i="4"/>
  <c r="U24" i="4" s="1"/>
  <c r="I24" i="4"/>
  <c r="T24" i="4" s="1"/>
  <c r="H24" i="4"/>
  <c r="S24" i="4" s="1"/>
  <c r="G24" i="4"/>
  <c r="R24" i="4" s="1"/>
  <c r="F24" i="4"/>
  <c r="Q24" i="4" s="1"/>
  <c r="E24" i="4"/>
  <c r="P24" i="4" s="1"/>
  <c r="D24" i="4"/>
  <c r="O24" i="4" s="1"/>
  <c r="C24" i="4"/>
  <c r="N24" i="4" s="1"/>
  <c r="B24" i="4"/>
  <c r="M24" i="4" s="1"/>
  <c r="K23" i="4"/>
  <c r="V23" i="4" s="1"/>
  <c r="J23" i="4"/>
  <c r="U23" i="4" s="1"/>
  <c r="I23" i="4"/>
  <c r="T23" i="4" s="1"/>
  <c r="H23" i="4"/>
  <c r="S23" i="4" s="1"/>
  <c r="G23" i="4"/>
  <c r="R23" i="4" s="1"/>
  <c r="F23" i="4"/>
  <c r="Q23" i="4" s="1"/>
  <c r="E23" i="4"/>
  <c r="P23" i="4" s="1"/>
  <c r="D23" i="4"/>
  <c r="O23" i="4" s="1"/>
  <c r="C23" i="4"/>
  <c r="N23" i="4" s="1"/>
  <c r="B23" i="4"/>
  <c r="M23" i="4" s="1"/>
  <c r="W22" i="4"/>
  <c r="K22" i="4"/>
  <c r="J22" i="4"/>
  <c r="I22" i="4"/>
  <c r="H22" i="4"/>
  <c r="G22" i="4"/>
  <c r="F22" i="4"/>
  <c r="E22" i="4"/>
  <c r="D22" i="4"/>
  <c r="C22" i="4"/>
  <c r="B22" i="4"/>
  <c r="W21" i="4"/>
  <c r="K21" i="4"/>
  <c r="J21" i="4"/>
  <c r="I21" i="4"/>
  <c r="H21" i="4"/>
  <c r="G21" i="4"/>
  <c r="F21" i="4"/>
  <c r="E21" i="4"/>
  <c r="D21" i="4"/>
  <c r="C21" i="4"/>
  <c r="B21" i="4"/>
  <c r="W20" i="4"/>
  <c r="K20" i="4"/>
  <c r="J20" i="4"/>
  <c r="I20" i="4"/>
  <c r="H20" i="4"/>
  <c r="G20" i="4"/>
  <c r="F20" i="4"/>
  <c r="E20" i="4"/>
  <c r="D20" i="4"/>
  <c r="C20" i="4"/>
  <c r="B20" i="4"/>
  <c r="W19" i="4"/>
  <c r="K19" i="4"/>
  <c r="J19" i="4"/>
  <c r="I19" i="4"/>
  <c r="H19" i="4"/>
  <c r="G19" i="4"/>
  <c r="F19" i="4"/>
  <c r="E19" i="4"/>
  <c r="D19" i="4"/>
  <c r="C19" i="4"/>
  <c r="B19" i="4"/>
  <c r="W18" i="4"/>
  <c r="K18" i="4"/>
  <c r="J18" i="4"/>
  <c r="I18" i="4"/>
  <c r="H18" i="4"/>
  <c r="G18" i="4"/>
  <c r="F18" i="4"/>
  <c r="E18" i="4"/>
  <c r="D18" i="4"/>
  <c r="C18" i="4"/>
  <c r="B18" i="4"/>
  <c r="W17" i="4"/>
  <c r="K17" i="4"/>
  <c r="J17" i="4"/>
  <c r="I17" i="4"/>
  <c r="H17" i="4"/>
  <c r="G17" i="4"/>
  <c r="F17" i="4"/>
  <c r="E17" i="4"/>
  <c r="D17" i="4"/>
  <c r="C17" i="4"/>
  <c r="B17" i="4"/>
  <c r="W16" i="4"/>
  <c r="K16" i="4"/>
  <c r="J16" i="4"/>
  <c r="I16" i="4"/>
  <c r="H16" i="4"/>
  <c r="G16" i="4"/>
  <c r="F16" i="4"/>
  <c r="E16" i="4"/>
  <c r="D16" i="4"/>
  <c r="C16" i="4"/>
  <c r="B16" i="4"/>
  <c r="W15" i="4"/>
  <c r="K15" i="4"/>
  <c r="J15" i="4"/>
  <c r="I15" i="4"/>
  <c r="H15" i="4"/>
  <c r="G15" i="4"/>
  <c r="F15" i="4"/>
  <c r="E15" i="4"/>
  <c r="D15" i="4"/>
  <c r="C15" i="4"/>
  <c r="B15" i="4"/>
  <c r="W14" i="4"/>
  <c r="K14" i="4"/>
  <c r="J14" i="4"/>
  <c r="I14" i="4"/>
  <c r="H14" i="4"/>
  <c r="G14" i="4"/>
  <c r="F14" i="4"/>
  <c r="E14" i="4"/>
  <c r="D14" i="4"/>
  <c r="C14" i="4"/>
  <c r="B14" i="4"/>
  <c r="W13" i="4"/>
  <c r="K13" i="4"/>
  <c r="J13" i="4"/>
  <c r="I13" i="4"/>
  <c r="H13" i="4"/>
  <c r="G13" i="4"/>
  <c r="F13" i="4"/>
  <c r="E13" i="4"/>
  <c r="D13" i="4"/>
  <c r="C13" i="4"/>
  <c r="B13" i="4"/>
  <c r="W12" i="4"/>
  <c r="K12" i="4"/>
  <c r="J12" i="4"/>
  <c r="I12" i="4"/>
  <c r="H12" i="4"/>
  <c r="G12" i="4"/>
  <c r="F12" i="4"/>
  <c r="E12" i="4"/>
  <c r="D12" i="4"/>
  <c r="C12" i="4"/>
  <c r="B12" i="4"/>
  <c r="W11" i="4"/>
  <c r="K11" i="4"/>
  <c r="J11" i="4"/>
  <c r="I11" i="4"/>
  <c r="H11" i="4"/>
  <c r="G11" i="4"/>
  <c r="F11" i="4"/>
  <c r="E11" i="4"/>
  <c r="D11" i="4"/>
  <c r="C11" i="4"/>
  <c r="B11" i="4"/>
  <c r="W10" i="4"/>
  <c r="K10" i="4"/>
  <c r="J10" i="4"/>
  <c r="I10" i="4"/>
  <c r="H10" i="4"/>
  <c r="G10" i="4"/>
  <c r="F10" i="4"/>
  <c r="E10" i="4"/>
  <c r="D10" i="4"/>
  <c r="C10" i="4"/>
  <c r="B10" i="4"/>
  <c r="W9" i="4"/>
  <c r="K9" i="4"/>
  <c r="J9" i="4"/>
  <c r="I9" i="4"/>
  <c r="H9" i="4"/>
  <c r="G9" i="4"/>
  <c r="F9" i="4"/>
  <c r="E9" i="4"/>
  <c r="D9" i="4"/>
  <c r="C9" i="4"/>
  <c r="B9" i="4"/>
  <c r="W8" i="4"/>
  <c r="K8" i="4"/>
  <c r="J8" i="4"/>
  <c r="I8" i="4"/>
  <c r="H8" i="4"/>
  <c r="G8" i="4"/>
  <c r="F8" i="4"/>
  <c r="E8" i="4"/>
  <c r="D8" i="4"/>
  <c r="C8" i="4"/>
  <c r="B8" i="4"/>
  <c r="W7" i="4"/>
  <c r="K7" i="4"/>
  <c r="J7" i="4"/>
  <c r="I7" i="4"/>
  <c r="H7" i="4"/>
  <c r="G7" i="4"/>
  <c r="F7" i="4"/>
  <c r="E7" i="4"/>
  <c r="D7" i="4"/>
  <c r="C7" i="4"/>
  <c r="B7" i="4"/>
  <c r="W6" i="4"/>
  <c r="K6" i="4"/>
  <c r="J6" i="4"/>
  <c r="I6" i="4"/>
  <c r="H6" i="4"/>
  <c r="G6" i="4"/>
  <c r="F6" i="4"/>
  <c r="E6" i="4"/>
  <c r="D6" i="4"/>
  <c r="C6" i="4"/>
  <c r="B6" i="4"/>
  <c r="W5" i="4"/>
  <c r="K5" i="4"/>
  <c r="J5" i="4"/>
  <c r="I5" i="4"/>
  <c r="H5" i="4"/>
  <c r="G5" i="4"/>
  <c r="F5" i="4"/>
  <c r="E5" i="4"/>
  <c r="D5" i="4"/>
  <c r="C5" i="4"/>
  <c r="B5" i="4"/>
  <c r="W4" i="4"/>
  <c r="K4" i="4"/>
  <c r="J4" i="4"/>
  <c r="I4" i="4"/>
  <c r="H4" i="4"/>
  <c r="G4" i="4"/>
  <c r="F4" i="4"/>
  <c r="E4" i="4"/>
  <c r="D4" i="4"/>
  <c r="C4" i="4"/>
  <c r="B4" i="4"/>
  <c r="W3" i="4"/>
  <c r="K3" i="4"/>
  <c r="J3" i="4"/>
  <c r="I3" i="4"/>
  <c r="H3" i="4"/>
  <c r="G3" i="4"/>
  <c r="F3" i="4"/>
  <c r="E3" i="4"/>
  <c r="D3" i="4"/>
  <c r="C3" i="4"/>
  <c r="B3" i="4"/>
  <c r="W2" i="4"/>
  <c r="K2" i="4"/>
  <c r="J2" i="4"/>
  <c r="I2" i="4"/>
  <c r="H2" i="4"/>
  <c r="G2" i="4"/>
  <c r="F2" i="4"/>
  <c r="E2" i="4"/>
  <c r="D2" i="4"/>
  <c r="C2" i="4"/>
  <c r="B2" i="4"/>
  <c r="K55" i="3"/>
  <c r="V55" i="3" s="1"/>
  <c r="J55" i="3"/>
  <c r="U55" i="3" s="1"/>
  <c r="I55" i="3"/>
  <c r="T55" i="3" s="1"/>
  <c r="H55" i="3"/>
  <c r="S55" i="3" s="1"/>
  <c r="G55" i="3"/>
  <c r="R55" i="3" s="1"/>
  <c r="F55" i="3"/>
  <c r="Q55" i="3" s="1"/>
  <c r="E55" i="3"/>
  <c r="P55" i="3" s="1"/>
  <c r="D55" i="3"/>
  <c r="O55" i="3" s="1"/>
  <c r="C55" i="3"/>
  <c r="N55" i="3" s="1"/>
  <c r="B55" i="3"/>
  <c r="M55" i="3" s="1"/>
  <c r="K54" i="3"/>
  <c r="V54" i="3" s="1"/>
  <c r="J54" i="3"/>
  <c r="U54" i="3" s="1"/>
  <c r="I54" i="3"/>
  <c r="T54" i="3" s="1"/>
  <c r="H54" i="3"/>
  <c r="S54" i="3" s="1"/>
  <c r="G54" i="3"/>
  <c r="R54" i="3" s="1"/>
  <c r="F54" i="3"/>
  <c r="Q54" i="3" s="1"/>
  <c r="E54" i="3"/>
  <c r="P54" i="3" s="1"/>
  <c r="D54" i="3"/>
  <c r="O54" i="3" s="1"/>
  <c r="C54" i="3"/>
  <c r="N54" i="3" s="1"/>
  <c r="B54" i="3"/>
  <c r="M54" i="3" s="1"/>
  <c r="K53" i="3"/>
  <c r="V53" i="3" s="1"/>
  <c r="J53" i="3"/>
  <c r="U53" i="3" s="1"/>
  <c r="I53" i="3"/>
  <c r="T53" i="3" s="1"/>
  <c r="H53" i="3"/>
  <c r="S53" i="3" s="1"/>
  <c r="G53" i="3"/>
  <c r="R53" i="3" s="1"/>
  <c r="F53" i="3"/>
  <c r="Q53" i="3" s="1"/>
  <c r="E53" i="3"/>
  <c r="P53" i="3" s="1"/>
  <c r="D53" i="3"/>
  <c r="O53" i="3" s="1"/>
  <c r="C53" i="3"/>
  <c r="N53" i="3" s="1"/>
  <c r="B53" i="3"/>
  <c r="M53" i="3" s="1"/>
  <c r="K52" i="3"/>
  <c r="V52" i="3" s="1"/>
  <c r="J52" i="3"/>
  <c r="U52" i="3" s="1"/>
  <c r="I52" i="3"/>
  <c r="T52" i="3" s="1"/>
  <c r="H52" i="3"/>
  <c r="S52" i="3" s="1"/>
  <c r="G52" i="3"/>
  <c r="R52" i="3" s="1"/>
  <c r="F52" i="3"/>
  <c r="Q52" i="3" s="1"/>
  <c r="E52" i="3"/>
  <c r="P52" i="3" s="1"/>
  <c r="D52" i="3"/>
  <c r="O52" i="3" s="1"/>
  <c r="C52" i="3"/>
  <c r="N52" i="3" s="1"/>
  <c r="B52" i="3"/>
  <c r="M52" i="3" s="1"/>
  <c r="K51" i="3"/>
  <c r="V51" i="3" s="1"/>
  <c r="J51" i="3"/>
  <c r="U51" i="3" s="1"/>
  <c r="I51" i="3"/>
  <c r="T51" i="3" s="1"/>
  <c r="H51" i="3"/>
  <c r="S51" i="3" s="1"/>
  <c r="G51" i="3"/>
  <c r="R51" i="3" s="1"/>
  <c r="F51" i="3"/>
  <c r="Q51" i="3" s="1"/>
  <c r="E51" i="3"/>
  <c r="P51" i="3" s="1"/>
  <c r="D51" i="3"/>
  <c r="O51" i="3" s="1"/>
  <c r="C51" i="3"/>
  <c r="N51" i="3" s="1"/>
  <c r="B51" i="3"/>
  <c r="M51" i="3" s="1"/>
  <c r="K50" i="3"/>
  <c r="V50" i="3" s="1"/>
  <c r="J50" i="3"/>
  <c r="U50" i="3" s="1"/>
  <c r="I50" i="3"/>
  <c r="T50" i="3" s="1"/>
  <c r="H50" i="3"/>
  <c r="S50" i="3" s="1"/>
  <c r="G50" i="3"/>
  <c r="R50" i="3" s="1"/>
  <c r="F50" i="3"/>
  <c r="Q50" i="3" s="1"/>
  <c r="E50" i="3"/>
  <c r="P50" i="3" s="1"/>
  <c r="D50" i="3"/>
  <c r="O50" i="3" s="1"/>
  <c r="C50" i="3"/>
  <c r="N50" i="3" s="1"/>
  <c r="B50" i="3"/>
  <c r="M50" i="3" s="1"/>
  <c r="K49" i="3"/>
  <c r="V49" i="3" s="1"/>
  <c r="J49" i="3"/>
  <c r="U49" i="3" s="1"/>
  <c r="I49" i="3"/>
  <c r="T49" i="3" s="1"/>
  <c r="H49" i="3"/>
  <c r="S49" i="3" s="1"/>
  <c r="G49" i="3"/>
  <c r="R49" i="3" s="1"/>
  <c r="F49" i="3"/>
  <c r="Q49" i="3" s="1"/>
  <c r="E49" i="3"/>
  <c r="P49" i="3" s="1"/>
  <c r="D49" i="3"/>
  <c r="O49" i="3" s="1"/>
  <c r="C49" i="3"/>
  <c r="N49" i="3" s="1"/>
  <c r="B49" i="3"/>
  <c r="M49" i="3" s="1"/>
  <c r="K48" i="3"/>
  <c r="V48" i="3" s="1"/>
  <c r="J48" i="3"/>
  <c r="U48" i="3" s="1"/>
  <c r="I48" i="3"/>
  <c r="T48" i="3" s="1"/>
  <c r="H48" i="3"/>
  <c r="S48" i="3" s="1"/>
  <c r="G48" i="3"/>
  <c r="R48" i="3" s="1"/>
  <c r="F48" i="3"/>
  <c r="Q48" i="3" s="1"/>
  <c r="E48" i="3"/>
  <c r="P48" i="3" s="1"/>
  <c r="D48" i="3"/>
  <c r="O48" i="3" s="1"/>
  <c r="C48" i="3"/>
  <c r="N48" i="3" s="1"/>
  <c r="B48" i="3"/>
  <c r="M48" i="3" s="1"/>
  <c r="K47" i="3"/>
  <c r="V47" i="3" s="1"/>
  <c r="J47" i="3"/>
  <c r="U47" i="3" s="1"/>
  <c r="I47" i="3"/>
  <c r="T47" i="3" s="1"/>
  <c r="H47" i="3"/>
  <c r="S47" i="3" s="1"/>
  <c r="G47" i="3"/>
  <c r="R47" i="3" s="1"/>
  <c r="F47" i="3"/>
  <c r="Q47" i="3" s="1"/>
  <c r="E47" i="3"/>
  <c r="P47" i="3" s="1"/>
  <c r="D47" i="3"/>
  <c r="O47" i="3" s="1"/>
  <c r="C47" i="3"/>
  <c r="N47" i="3" s="1"/>
  <c r="B47" i="3"/>
  <c r="M47" i="3" s="1"/>
  <c r="K46" i="3"/>
  <c r="V46" i="3" s="1"/>
  <c r="J46" i="3"/>
  <c r="U46" i="3" s="1"/>
  <c r="I46" i="3"/>
  <c r="T46" i="3" s="1"/>
  <c r="H46" i="3"/>
  <c r="S46" i="3" s="1"/>
  <c r="G46" i="3"/>
  <c r="R46" i="3" s="1"/>
  <c r="F46" i="3"/>
  <c r="Q46" i="3" s="1"/>
  <c r="E46" i="3"/>
  <c r="P46" i="3" s="1"/>
  <c r="D46" i="3"/>
  <c r="O46" i="3" s="1"/>
  <c r="C46" i="3"/>
  <c r="N46" i="3" s="1"/>
  <c r="B46" i="3"/>
  <c r="M46" i="3" s="1"/>
  <c r="K45" i="3"/>
  <c r="V45" i="3" s="1"/>
  <c r="J45" i="3"/>
  <c r="U45" i="3" s="1"/>
  <c r="I45" i="3"/>
  <c r="T45" i="3" s="1"/>
  <c r="H45" i="3"/>
  <c r="S45" i="3" s="1"/>
  <c r="G45" i="3"/>
  <c r="R45" i="3" s="1"/>
  <c r="F45" i="3"/>
  <c r="Q45" i="3" s="1"/>
  <c r="E45" i="3"/>
  <c r="P45" i="3" s="1"/>
  <c r="D45" i="3"/>
  <c r="O45" i="3" s="1"/>
  <c r="C45" i="3"/>
  <c r="N45" i="3" s="1"/>
  <c r="B45" i="3"/>
  <c r="M45" i="3" s="1"/>
  <c r="K44" i="3"/>
  <c r="V44" i="3" s="1"/>
  <c r="J44" i="3"/>
  <c r="U44" i="3" s="1"/>
  <c r="I44" i="3"/>
  <c r="T44" i="3" s="1"/>
  <c r="H44" i="3"/>
  <c r="S44" i="3" s="1"/>
  <c r="G44" i="3"/>
  <c r="R44" i="3" s="1"/>
  <c r="F44" i="3"/>
  <c r="Q44" i="3" s="1"/>
  <c r="E44" i="3"/>
  <c r="P44" i="3" s="1"/>
  <c r="D44" i="3"/>
  <c r="O44" i="3" s="1"/>
  <c r="C44" i="3"/>
  <c r="N44" i="3" s="1"/>
  <c r="B44" i="3"/>
  <c r="M44" i="3" s="1"/>
  <c r="K43" i="3"/>
  <c r="V43" i="3" s="1"/>
  <c r="J43" i="3"/>
  <c r="U43" i="3" s="1"/>
  <c r="I43" i="3"/>
  <c r="T43" i="3" s="1"/>
  <c r="H43" i="3"/>
  <c r="S43" i="3" s="1"/>
  <c r="G43" i="3"/>
  <c r="R43" i="3" s="1"/>
  <c r="F43" i="3"/>
  <c r="Q43" i="3" s="1"/>
  <c r="E43" i="3"/>
  <c r="P43" i="3" s="1"/>
  <c r="D43" i="3"/>
  <c r="O43" i="3" s="1"/>
  <c r="C43" i="3"/>
  <c r="N43" i="3" s="1"/>
  <c r="B43" i="3"/>
  <c r="M43" i="3" s="1"/>
  <c r="K42" i="3"/>
  <c r="V42" i="3" s="1"/>
  <c r="J42" i="3"/>
  <c r="U42" i="3" s="1"/>
  <c r="I42" i="3"/>
  <c r="T42" i="3" s="1"/>
  <c r="H42" i="3"/>
  <c r="S42" i="3" s="1"/>
  <c r="G42" i="3"/>
  <c r="R42" i="3" s="1"/>
  <c r="F42" i="3"/>
  <c r="Q42" i="3" s="1"/>
  <c r="E42" i="3"/>
  <c r="P42" i="3" s="1"/>
  <c r="D42" i="3"/>
  <c r="O42" i="3" s="1"/>
  <c r="C42" i="3"/>
  <c r="N42" i="3" s="1"/>
  <c r="B42" i="3"/>
  <c r="M42" i="3" s="1"/>
  <c r="K41" i="3"/>
  <c r="V41" i="3" s="1"/>
  <c r="J41" i="3"/>
  <c r="U41" i="3" s="1"/>
  <c r="I41" i="3"/>
  <c r="T41" i="3" s="1"/>
  <c r="H41" i="3"/>
  <c r="S41" i="3" s="1"/>
  <c r="G41" i="3"/>
  <c r="R41" i="3" s="1"/>
  <c r="F41" i="3"/>
  <c r="Q41" i="3" s="1"/>
  <c r="E41" i="3"/>
  <c r="P41" i="3" s="1"/>
  <c r="D41" i="3"/>
  <c r="O41" i="3" s="1"/>
  <c r="C41" i="3"/>
  <c r="N41" i="3" s="1"/>
  <c r="B41" i="3"/>
  <c r="M41" i="3" s="1"/>
  <c r="K40" i="3"/>
  <c r="V40" i="3" s="1"/>
  <c r="J40" i="3"/>
  <c r="U40" i="3" s="1"/>
  <c r="I40" i="3"/>
  <c r="T40" i="3" s="1"/>
  <c r="H40" i="3"/>
  <c r="S40" i="3" s="1"/>
  <c r="G40" i="3"/>
  <c r="R40" i="3" s="1"/>
  <c r="F40" i="3"/>
  <c r="Q40" i="3" s="1"/>
  <c r="E40" i="3"/>
  <c r="P40" i="3" s="1"/>
  <c r="D40" i="3"/>
  <c r="O40" i="3" s="1"/>
  <c r="C40" i="3"/>
  <c r="N40" i="3" s="1"/>
  <c r="B40" i="3"/>
  <c r="M40" i="3" s="1"/>
  <c r="K39" i="3"/>
  <c r="V39" i="3" s="1"/>
  <c r="J39" i="3"/>
  <c r="U39" i="3" s="1"/>
  <c r="I39" i="3"/>
  <c r="T39" i="3" s="1"/>
  <c r="H39" i="3"/>
  <c r="S39" i="3" s="1"/>
  <c r="G39" i="3"/>
  <c r="R39" i="3" s="1"/>
  <c r="F39" i="3"/>
  <c r="Q39" i="3" s="1"/>
  <c r="E39" i="3"/>
  <c r="P39" i="3" s="1"/>
  <c r="D39" i="3"/>
  <c r="O39" i="3" s="1"/>
  <c r="C39" i="3"/>
  <c r="N39" i="3" s="1"/>
  <c r="B39" i="3"/>
  <c r="M39" i="3" s="1"/>
  <c r="K38" i="3"/>
  <c r="V38" i="3" s="1"/>
  <c r="J38" i="3"/>
  <c r="U38" i="3" s="1"/>
  <c r="I38" i="3"/>
  <c r="T38" i="3" s="1"/>
  <c r="H38" i="3"/>
  <c r="S38" i="3" s="1"/>
  <c r="G38" i="3"/>
  <c r="R38" i="3" s="1"/>
  <c r="F38" i="3"/>
  <c r="Q38" i="3" s="1"/>
  <c r="E38" i="3"/>
  <c r="P38" i="3" s="1"/>
  <c r="D38" i="3"/>
  <c r="O38" i="3" s="1"/>
  <c r="C38" i="3"/>
  <c r="N38" i="3" s="1"/>
  <c r="B38" i="3"/>
  <c r="M38" i="3" s="1"/>
  <c r="K37" i="3"/>
  <c r="V37" i="3" s="1"/>
  <c r="J37" i="3"/>
  <c r="U37" i="3" s="1"/>
  <c r="I37" i="3"/>
  <c r="T37" i="3" s="1"/>
  <c r="H37" i="3"/>
  <c r="S37" i="3" s="1"/>
  <c r="G37" i="3"/>
  <c r="R37" i="3" s="1"/>
  <c r="F37" i="3"/>
  <c r="Q37" i="3" s="1"/>
  <c r="E37" i="3"/>
  <c r="P37" i="3" s="1"/>
  <c r="D37" i="3"/>
  <c r="O37" i="3" s="1"/>
  <c r="C37" i="3"/>
  <c r="N37" i="3" s="1"/>
  <c r="B37" i="3"/>
  <c r="M37" i="3" s="1"/>
  <c r="K36" i="3"/>
  <c r="V36" i="3" s="1"/>
  <c r="J36" i="3"/>
  <c r="U36" i="3" s="1"/>
  <c r="I36" i="3"/>
  <c r="T36" i="3" s="1"/>
  <c r="H36" i="3"/>
  <c r="S36" i="3" s="1"/>
  <c r="G36" i="3"/>
  <c r="R36" i="3" s="1"/>
  <c r="F36" i="3"/>
  <c r="Q36" i="3" s="1"/>
  <c r="E36" i="3"/>
  <c r="P36" i="3" s="1"/>
  <c r="D36" i="3"/>
  <c r="O36" i="3" s="1"/>
  <c r="C36" i="3"/>
  <c r="N36" i="3" s="1"/>
  <c r="B36" i="3"/>
  <c r="M36" i="3" s="1"/>
  <c r="K35" i="3"/>
  <c r="V35" i="3" s="1"/>
  <c r="J35" i="3"/>
  <c r="U35" i="3" s="1"/>
  <c r="I35" i="3"/>
  <c r="T35" i="3" s="1"/>
  <c r="H35" i="3"/>
  <c r="S35" i="3" s="1"/>
  <c r="G35" i="3"/>
  <c r="R35" i="3" s="1"/>
  <c r="F35" i="3"/>
  <c r="Q35" i="3" s="1"/>
  <c r="E35" i="3"/>
  <c r="P35" i="3" s="1"/>
  <c r="D35" i="3"/>
  <c r="O35" i="3" s="1"/>
  <c r="C35" i="3"/>
  <c r="N35" i="3" s="1"/>
  <c r="B35" i="3"/>
  <c r="M35" i="3" s="1"/>
  <c r="K34" i="3"/>
  <c r="V34" i="3" s="1"/>
  <c r="J34" i="3"/>
  <c r="U34" i="3" s="1"/>
  <c r="I34" i="3"/>
  <c r="T34" i="3" s="1"/>
  <c r="H34" i="3"/>
  <c r="S34" i="3" s="1"/>
  <c r="G34" i="3"/>
  <c r="R34" i="3" s="1"/>
  <c r="F34" i="3"/>
  <c r="Q34" i="3" s="1"/>
  <c r="E34" i="3"/>
  <c r="P34" i="3" s="1"/>
  <c r="D34" i="3"/>
  <c r="O34" i="3" s="1"/>
  <c r="C34" i="3"/>
  <c r="N34" i="3" s="1"/>
  <c r="B34" i="3"/>
  <c r="M34" i="3" s="1"/>
  <c r="K33" i="3"/>
  <c r="V33" i="3" s="1"/>
  <c r="J33" i="3"/>
  <c r="U33" i="3" s="1"/>
  <c r="I33" i="3"/>
  <c r="T33" i="3" s="1"/>
  <c r="H33" i="3"/>
  <c r="S33" i="3" s="1"/>
  <c r="G33" i="3"/>
  <c r="R33" i="3" s="1"/>
  <c r="F33" i="3"/>
  <c r="Q33" i="3" s="1"/>
  <c r="E33" i="3"/>
  <c r="P33" i="3" s="1"/>
  <c r="D33" i="3"/>
  <c r="O33" i="3" s="1"/>
  <c r="C33" i="3"/>
  <c r="N33" i="3" s="1"/>
  <c r="B33" i="3"/>
  <c r="M33" i="3" s="1"/>
  <c r="K32" i="3"/>
  <c r="V32" i="3" s="1"/>
  <c r="J32" i="3"/>
  <c r="U32" i="3" s="1"/>
  <c r="I32" i="3"/>
  <c r="T32" i="3" s="1"/>
  <c r="H32" i="3"/>
  <c r="S32" i="3" s="1"/>
  <c r="G32" i="3"/>
  <c r="R32" i="3" s="1"/>
  <c r="F32" i="3"/>
  <c r="Q32" i="3" s="1"/>
  <c r="E32" i="3"/>
  <c r="P32" i="3" s="1"/>
  <c r="D32" i="3"/>
  <c r="O32" i="3" s="1"/>
  <c r="C32" i="3"/>
  <c r="N32" i="3" s="1"/>
  <c r="B32" i="3"/>
  <c r="M32" i="3" s="1"/>
  <c r="K31" i="3"/>
  <c r="V31" i="3" s="1"/>
  <c r="J31" i="3"/>
  <c r="U31" i="3" s="1"/>
  <c r="I31" i="3"/>
  <c r="T31" i="3" s="1"/>
  <c r="H31" i="3"/>
  <c r="S31" i="3" s="1"/>
  <c r="G31" i="3"/>
  <c r="R31" i="3" s="1"/>
  <c r="F31" i="3"/>
  <c r="Q31" i="3" s="1"/>
  <c r="E31" i="3"/>
  <c r="P31" i="3" s="1"/>
  <c r="D31" i="3"/>
  <c r="O31" i="3" s="1"/>
  <c r="C31" i="3"/>
  <c r="N31" i="3" s="1"/>
  <c r="B31" i="3"/>
  <c r="M31" i="3" s="1"/>
  <c r="K30" i="3"/>
  <c r="V30" i="3" s="1"/>
  <c r="J30" i="3"/>
  <c r="U30" i="3" s="1"/>
  <c r="I30" i="3"/>
  <c r="T30" i="3" s="1"/>
  <c r="H30" i="3"/>
  <c r="S30" i="3" s="1"/>
  <c r="G30" i="3"/>
  <c r="R30" i="3" s="1"/>
  <c r="F30" i="3"/>
  <c r="Q30" i="3" s="1"/>
  <c r="E30" i="3"/>
  <c r="P30" i="3" s="1"/>
  <c r="D30" i="3"/>
  <c r="O30" i="3" s="1"/>
  <c r="C30" i="3"/>
  <c r="N30" i="3" s="1"/>
  <c r="B30" i="3"/>
  <c r="M30" i="3" s="1"/>
  <c r="K29" i="3"/>
  <c r="V29" i="3" s="1"/>
  <c r="J29" i="3"/>
  <c r="U29" i="3" s="1"/>
  <c r="I29" i="3"/>
  <c r="T29" i="3" s="1"/>
  <c r="H29" i="3"/>
  <c r="S29" i="3" s="1"/>
  <c r="G29" i="3"/>
  <c r="R29" i="3" s="1"/>
  <c r="F29" i="3"/>
  <c r="Q29" i="3" s="1"/>
  <c r="E29" i="3"/>
  <c r="P29" i="3" s="1"/>
  <c r="D29" i="3"/>
  <c r="O29" i="3" s="1"/>
  <c r="C29" i="3"/>
  <c r="N29" i="3" s="1"/>
  <c r="B29" i="3"/>
  <c r="M29" i="3" s="1"/>
  <c r="K28" i="3"/>
  <c r="V28" i="3" s="1"/>
  <c r="J28" i="3"/>
  <c r="U28" i="3" s="1"/>
  <c r="I28" i="3"/>
  <c r="T28" i="3" s="1"/>
  <c r="H28" i="3"/>
  <c r="S28" i="3" s="1"/>
  <c r="G28" i="3"/>
  <c r="R28" i="3" s="1"/>
  <c r="F28" i="3"/>
  <c r="Q28" i="3" s="1"/>
  <c r="E28" i="3"/>
  <c r="P28" i="3" s="1"/>
  <c r="D28" i="3"/>
  <c r="O28" i="3" s="1"/>
  <c r="C28" i="3"/>
  <c r="N28" i="3" s="1"/>
  <c r="B28" i="3"/>
  <c r="M28" i="3" s="1"/>
  <c r="K27" i="3"/>
  <c r="V27" i="3" s="1"/>
  <c r="J27" i="3"/>
  <c r="U27" i="3" s="1"/>
  <c r="I27" i="3"/>
  <c r="T27" i="3" s="1"/>
  <c r="H27" i="3"/>
  <c r="S27" i="3" s="1"/>
  <c r="G27" i="3"/>
  <c r="R27" i="3" s="1"/>
  <c r="F27" i="3"/>
  <c r="Q27" i="3" s="1"/>
  <c r="E27" i="3"/>
  <c r="P27" i="3" s="1"/>
  <c r="D27" i="3"/>
  <c r="O27" i="3" s="1"/>
  <c r="C27" i="3"/>
  <c r="N27" i="3" s="1"/>
  <c r="B27" i="3"/>
  <c r="M27" i="3" s="1"/>
  <c r="K26" i="3"/>
  <c r="V26" i="3" s="1"/>
  <c r="J26" i="3"/>
  <c r="U26" i="3" s="1"/>
  <c r="I26" i="3"/>
  <c r="T26" i="3" s="1"/>
  <c r="H26" i="3"/>
  <c r="S26" i="3" s="1"/>
  <c r="G26" i="3"/>
  <c r="R26" i="3" s="1"/>
  <c r="F26" i="3"/>
  <c r="Q26" i="3" s="1"/>
  <c r="E26" i="3"/>
  <c r="P26" i="3" s="1"/>
  <c r="D26" i="3"/>
  <c r="O26" i="3" s="1"/>
  <c r="C26" i="3"/>
  <c r="N26" i="3" s="1"/>
  <c r="B26" i="3"/>
  <c r="M26" i="3" s="1"/>
  <c r="K25" i="3"/>
  <c r="V25" i="3" s="1"/>
  <c r="J25" i="3"/>
  <c r="U25" i="3" s="1"/>
  <c r="I25" i="3"/>
  <c r="T25" i="3" s="1"/>
  <c r="H25" i="3"/>
  <c r="S25" i="3" s="1"/>
  <c r="G25" i="3"/>
  <c r="R25" i="3" s="1"/>
  <c r="F25" i="3"/>
  <c r="Q25" i="3" s="1"/>
  <c r="E25" i="3"/>
  <c r="P25" i="3" s="1"/>
  <c r="D25" i="3"/>
  <c r="O25" i="3" s="1"/>
  <c r="C25" i="3"/>
  <c r="N25" i="3" s="1"/>
  <c r="B25" i="3"/>
  <c r="M25" i="3" s="1"/>
  <c r="K24" i="3"/>
  <c r="V24" i="3" s="1"/>
  <c r="J24" i="3"/>
  <c r="U24" i="3" s="1"/>
  <c r="I24" i="3"/>
  <c r="T24" i="3" s="1"/>
  <c r="H24" i="3"/>
  <c r="S24" i="3" s="1"/>
  <c r="G24" i="3"/>
  <c r="R24" i="3" s="1"/>
  <c r="F24" i="3"/>
  <c r="Q24" i="3" s="1"/>
  <c r="E24" i="3"/>
  <c r="P24" i="3" s="1"/>
  <c r="D24" i="3"/>
  <c r="O24" i="3" s="1"/>
  <c r="C24" i="3"/>
  <c r="N24" i="3" s="1"/>
  <c r="B24" i="3"/>
  <c r="M24" i="3" s="1"/>
  <c r="K23" i="3"/>
  <c r="V23" i="3" s="1"/>
  <c r="J23" i="3"/>
  <c r="U23" i="3" s="1"/>
  <c r="I23" i="3"/>
  <c r="T23" i="3" s="1"/>
  <c r="H23" i="3"/>
  <c r="S23" i="3" s="1"/>
  <c r="G23" i="3"/>
  <c r="R23" i="3" s="1"/>
  <c r="F23" i="3"/>
  <c r="Q23" i="3" s="1"/>
  <c r="E23" i="3"/>
  <c r="P23" i="3" s="1"/>
  <c r="D23" i="3"/>
  <c r="O23" i="3" s="1"/>
  <c r="C23" i="3"/>
  <c r="N23" i="3" s="1"/>
  <c r="B23" i="3"/>
  <c r="M23" i="3" s="1"/>
  <c r="K22" i="3"/>
  <c r="V22" i="3" s="1"/>
  <c r="W22" i="3" s="1"/>
  <c r="J22" i="3"/>
  <c r="U22" i="3" s="1"/>
  <c r="I22" i="3"/>
  <c r="T22" i="3" s="1"/>
  <c r="H22" i="3"/>
  <c r="S22" i="3" s="1"/>
  <c r="G22" i="3"/>
  <c r="R22" i="3" s="1"/>
  <c r="F22" i="3"/>
  <c r="Q22" i="3" s="1"/>
  <c r="E22" i="3"/>
  <c r="D22" i="3"/>
  <c r="C22" i="3"/>
  <c r="B22" i="3"/>
  <c r="K21" i="3"/>
  <c r="V21" i="3" s="1"/>
  <c r="W21" i="3" s="1"/>
  <c r="J21" i="3"/>
  <c r="U21" i="3" s="1"/>
  <c r="I21" i="3"/>
  <c r="T21" i="3" s="1"/>
  <c r="H21" i="3"/>
  <c r="S21" i="3" s="1"/>
  <c r="G21" i="3"/>
  <c r="F21" i="3"/>
  <c r="E21" i="3"/>
  <c r="D21" i="3"/>
  <c r="C21" i="3"/>
  <c r="B21" i="3"/>
  <c r="K20" i="3"/>
  <c r="V20" i="3" s="1"/>
  <c r="W20" i="3" s="1"/>
  <c r="J20" i="3"/>
  <c r="U20" i="3" s="1"/>
  <c r="I20" i="3"/>
  <c r="H20" i="3"/>
  <c r="G20" i="3"/>
  <c r="F20" i="3"/>
  <c r="E20" i="3"/>
  <c r="D20" i="3"/>
  <c r="C20" i="3"/>
  <c r="B20" i="3"/>
  <c r="W19" i="3"/>
  <c r="K19" i="3"/>
  <c r="J19" i="3"/>
  <c r="I19" i="3"/>
  <c r="H19" i="3"/>
  <c r="G19" i="3"/>
  <c r="F19" i="3"/>
  <c r="E19" i="3"/>
  <c r="D19" i="3"/>
  <c r="C19" i="3"/>
  <c r="B19" i="3"/>
  <c r="W18" i="3"/>
  <c r="K18" i="3"/>
  <c r="J18" i="3"/>
  <c r="I18" i="3"/>
  <c r="H18" i="3"/>
  <c r="G18" i="3"/>
  <c r="F18" i="3"/>
  <c r="E18" i="3"/>
  <c r="D18" i="3"/>
  <c r="C18" i="3"/>
  <c r="B18" i="3"/>
  <c r="W17" i="3"/>
  <c r="K17" i="3"/>
  <c r="J17" i="3"/>
  <c r="I17" i="3"/>
  <c r="H17" i="3"/>
  <c r="G17" i="3"/>
  <c r="F17" i="3"/>
  <c r="E17" i="3"/>
  <c r="D17" i="3"/>
  <c r="C17" i="3"/>
  <c r="B17" i="3"/>
  <c r="W16" i="3"/>
  <c r="K16" i="3"/>
  <c r="J16" i="3"/>
  <c r="I16" i="3"/>
  <c r="H16" i="3"/>
  <c r="G16" i="3"/>
  <c r="F16" i="3"/>
  <c r="E16" i="3"/>
  <c r="D16" i="3"/>
  <c r="C16" i="3"/>
  <c r="B16" i="3"/>
  <c r="W15" i="3"/>
  <c r="K15" i="3"/>
  <c r="J15" i="3"/>
  <c r="I15" i="3"/>
  <c r="H15" i="3"/>
  <c r="G15" i="3"/>
  <c r="F15" i="3"/>
  <c r="E15" i="3"/>
  <c r="D15" i="3"/>
  <c r="C15" i="3"/>
  <c r="B15" i="3"/>
  <c r="W14" i="3"/>
  <c r="K14" i="3"/>
  <c r="J14" i="3"/>
  <c r="I14" i="3"/>
  <c r="H14" i="3"/>
  <c r="G14" i="3"/>
  <c r="F14" i="3"/>
  <c r="E14" i="3"/>
  <c r="D14" i="3"/>
  <c r="C14" i="3"/>
  <c r="B14" i="3"/>
  <c r="W13" i="3"/>
  <c r="K13" i="3"/>
  <c r="J13" i="3"/>
  <c r="I13" i="3"/>
  <c r="H13" i="3"/>
  <c r="G13" i="3"/>
  <c r="F13" i="3"/>
  <c r="E13" i="3"/>
  <c r="D13" i="3"/>
  <c r="C13" i="3"/>
  <c r="B13" i="3"/>
  <c r="W12" i="3"/>
  <c r="K12" i="3"/>
  <c r="J12" i="3"/>
  <c r="I12" i="3"/>
  <c r="H12" i="3"/>
  <c r="G12" i="3"/>
  <c r="F12" i="3"/>
  <c r="E12" i="3"/>
  <c r="D12" i="3"/>
  <c r="C12" i="3"/>
  <c r="B12" i="3"/>
  <c r="W11" i="3"/>
  <c r="K11" i="3"/>
  <c r="J11" i="3"/>
  <c r="I11" i="3"/>
  <c r="H11" i="3"/>
  <c r="G11" i="3"/>
  <c r="F11" i="3"/>
  <c r="E11" i="3"/>
  <c r="D11" i="3"/>
  <c r="C11" i="3"/>
  <c r="B11" i="3"/>
  <c r="W10" i="3"/>
  <c r="K10" i="3"/>
  <c r="J10" i="3"/>
  <c r="I10" i="3"/>
  <c r="H10" i="3"/>
  <c r="G10" i="3"/>
  <c r="F10" i="3"/>
  <c r="E10" i="3"/>
  <c r="D10" i="3"/>
  <c r="C10" i="3"/>
  <c r="B10" i="3"/>
  <c r="W9" i="3"/>
  <c r="K9" i="3"/>
  <c r="J9" i="3"/>
  <c r="I9" i="3"/>
  <c r="H9" i="3"/>
  <c r="G9" i="3"/>
  <c r="F9" i="3"/>
  <c r="E9" i="3"/>
  <c r="D9" i="3"/>
  <c r="C9" i="3"/>
  <c r="B9" i="3"/>
  <c r="W8" i="3"/>
  <c r="K8" i="3"/>
  <c r="J8" i="3"/>
  <c r="I8" i="3"/>
  <c r="H8" i="3"/>
  <c r="G8" i="3"/>
  <c r="F8" i="3"/>
  <c r="E8" i="3"/>
  <c r="D8" i="3"/>
  <c r="C8" i="3"/>
  <c r="B8" i="3"/>
  <c r="W7" i="3"/>
  <c r="K7" i="3"/>
  <c r="J7" i="3"/>
  <c r="I7" i="3"/>
  <c r="H7" i="3"/>
  <c r="G7" i="3"/>
  <c r="F7" i="3"/>
  <c r="E7" i="3"/>
  <c r="D7" i="3"/>
  <c r="C7" i="3"/>
  <c r="B7" i="3"/>
  <c r="W6" i="3"/>
  <c r="K6" i="3"/>
  <c r="J6" i="3"/>
  <c r="I6" i="3"/>
  <c r="H6" i="3"/>
  <c r="G6" i="3"/>
  <c r="F6" i="3"/>
  <c r="E6" i="3"/>
  <c r="D6" i="3"/>
  <c r="C6" i="3"/>
  <c r="B6" i="3"/>
  <c r="W5" i="3"/>
  <c r="K5" i="3"/>
  <c r="J5" i="3"/>
  <c r="I5" i="3"/>
  <c r="H5" i="3"/>
  <c r="G5" i="3"/>
  <c r="F5" i="3"/>
  <c r="E5" i="3"/>
  <c r="D5" i="3"/>
  <c r="C5" i="3"/>
  <c r="B5" i="3"/>
  <c r="W4" i="3"/>
  <c r="K4" i="3"/>
  <c r="J4" i="3"/>
  <c r="I4" i="3"/>
  <c r="H4" i="3"/>
  <c r="G4" i="3"/>
  <c r="F4" i="3"/>
  <c r="E4" i="3"/>
  <c r="D4" i="3"/>
  <c r="C4" i="3"/>
  <c r="B4" i="3"/>
  <c r="W3" i="3"/>
  <c r="K3" i="3"/>
  <c r="J3" i="3"/>
  <c r="I3" i="3"/>
  <c r="H3" i="3"/>
  <c r="G3" i="3"/>
  <c r="F3" i="3"/>
  <c r="E3" i="3"/>
  <c r="D3" i="3"/>
  <c r="C3" i="3"/>
  <c r="B3" i="3"/>
  <c r="W2" i="3"/>
  <c r="K2" i="3"/>
  <c r="J2" i="3"/>
  <c r="I2" i="3"/>
  <c r="H2" i="3"/>
  <c r="G2" i="3"/>
  <c r="F2" i="3"/>
  <c r="E2" i="3"/>
  <c r="D2" i="3"/>
  <c r="C2" i="3"/>
  <c r="B2" i="3"/>
  <c r="K72" i="2"/>
  <c r="V72" i="2" s="1"/>
  <c r="J72" i="2"/>
  <c r="U72" i="2" s="1"/>
  <c r="I72" i="2"/>
  <c r="T72" i="2" s="1"/>
  <c r="H72" i="2"/>
  <c r="S72" i="2" s="1"/>
  <c r="G72" i="2"/>
  <c r="R72" i="2" s="1"/>
  <c r="F72" i="2"/>
  <c r="Q72" i="2" s="1"/>
  <c r="E72" i="2"/>
  <c r="P72" i="2" s="1"/>
  <c r="D72" i="2"/>
  <c r="O72" i="2" s="1"/>
  <c r="C72" i="2"/>
  <c r="N72" i="2" s="1"/>
  <c r="B72" i="2"/>
  <c r="M72" i="2" s="1"/>
  <c r="K71" i="2"/>
  <c r="V71" i="2" s="1"/>
  <c r="J71" i="2"/>
  <c r="U71" i="2" s="1"/>
  <c r="I71" i="2"/>
  <c r="T71" i="2" s="1"/>
  <c r="H71" i="2"/>
  <c r="S71" i="2" s="1"/>
  <c r="G71" i="2"/>
  <c r="R71" i="2" s="1"/>
  <c r="F71" i="2"/>
  <c r="Q71" i="2" s="1"/>
  <c r="E71" i="2"/>
  <c r="P71" i="2" s="1"/>
  <c r="D71" i="2"/>
  <c r="O71" i="2" s="1"/>
  <c r="C71" i="2"/>
  <c r="N71" i="2" s="1"/>
  <c r="B71" i="2"/>
  <c r="M71" i="2" s="1"/>
  <c r="K70" i="2"/>
  <c r="V70" i="2" s="1"/>
  <c r="J70" i="2"/>
  <c r="U70" i="2" s="1"/>
  <c r="I70" i="2"/>
  <c r="T70" i="2" s="1"/>
  <c r="H70" i="2"/>
  <c r="S70" i="2" s="1"/>
  <c r="G70" i="2"/>
  <c r="R70" i="2" s="1"/>
  <c r="F70" i="2"/>
  <c r="Q70" i="2" s="1"/>
  <c r="E70" i="2"/>
  <c r="P70" i="2" s="1"/>
  <c r="D70" i="2"/>
  <c r="O70" i="2" s="1"/>
  <c r="C70" i="2"/>
  <c r="N70" i="2" s="1"/>
  <c r="B70" i="2"/>
  <c r="M70" i="2" s="1"/>
  <c r="K69" i="2"/>
  <c r="V69" i="2" s="1"/>
  <c r="J69" i="2"/>
  <c r="U69" i="2" s="1"/>
  <c r="I69" i="2"/>
  <c r="T69" i="2" s="1"/>
  <c r="H69" i="2"/>
  <c r="S69" i="2" s="1"/>
  <c r="G69" i="2"/>
  <c r="R69" i="2" s="1"/>
  <c r="F69" i="2"/>
  <c r="Q69" i="2" s="1"/>
  <c r="E69" i="2"/>
  <c r="P69" i="2" s="1"/>
  <c r="D69" i="2"/>
  <c r="O69" i="2" s="1"/>
  <c r="C69" i="2"/>
  <c r="N69" i="2" s="1"/>
  <c r="B69" i="2"/>
  <c r="M69" i="2" s="1"/>
  <c r="K68" i="2"/>
  <c r="V68" i="2" s="1"/>
  <c r="J68" i="2"/>
  <c r="U68" i="2" s="1"/>
  <c r="I68" i="2"/>
  <c r="T68" i="2" s="1"/>
  <c r="H68" i="2"/>
  <c r="S68" i="2" s="1"/>
  <c r="G68" i="2"/>
  <c r="R68" i="2" s="1"/>
  <c r="F68" i="2"/>
  <c r="Q68" i="2" s="1"/>
  <c r="E68" i="2"/>
  <c r="P68" i="2" s="1"/>
  <c r="D68" i="2"/>
  <c r="O68" i="2" s="1"/>
  <c r="C68" i="2"/>
  <c r="N68" i="2" s="1"/>
  <c r="B68" i="2"/>
  <c r="M68" i="2" s="1"/>
  <c r="K67" i="2"/>
  <c r="V67" i="2" s="1"/>
  <c r="J67" i="2"/>
  <c r="U67" i="2" s="1"/>
  <c r="I67" i="2"/>
  <c r="T67" i="2" s="1"/>
  <c r="H67" i="2"/>
  <c r="S67" i="2" s="1"/>
  <c r="G67" i="2"/>
  <c r="R67" i="2" s="1"/>
  <c r="F67" i="2"/>
  <c r="Q67" i="2" s="1"/>
  <c r="E67" i="2"/>
  <c r="P67" i="2" s="1"/>
  <c r="D67" i="2"/>
  <c r="O67" i="2" s="1"/>
  <c r="C67" i="2"/>
  <c r="N67" i="2" s="1"/>
  <c r="B67" i="2"/>
  <c r="M67" i="2" s="1"/>
  <c r="K66" i="2"/>
  <c r="V66" i="2" s="1"/>
  <c r="J66" i="2"/>
  <c r="U66" i="2" s="1"/>
  <c r="I66" i="2"/>
  <c r="T66" i="2" s="1"/>
  <c r="H66" i="2"/>
  <c r="S66" i="2" s="1"/>
  <c r="G66" i="2"/>
  <c r="R66" i="2" s="1"/>
  <c r="F66" i="2"/>
  <c r="Q66" i="2" s="1"/>
  <c r="E66" i="2"/>
  <c r="P66" i="2" s="1"/>
  <c r="D66" i="2"/>
  <c r="O66" i="2" s="1"/>
  <c r="C66" i="2"/>
  <c r="N66" i="2" s="1"/>
  <c r="B66" i="2"/>
  <c r="M66" i="2" s="1"/>
  <c r="K65" i="2"/>
  <c r="V65" i="2" s="1"/>
  <c r="J65" i="2"/>
  <c r="U65" i="2" s="1"/>
  <c r="I65" i="2"/>
  <c r="T65" i="2" s="1"/>
  <c r="H65" i="2"/>
  <c r="S65" i="2" s="1"/>
  <c r="G65" i="2"/>
  <c r="R65" i="2" s="1"/>
  <c r="F65" i="2"/>
  <c r="Q65" i="2" s="1"/>
  <c r="E65" i="2"/>
  <c r="P65" i="2" s="1"/>
  <c r="D65" i="2"/>
  <c r="O65" i="2" s="1"/>
  <c r="C65" i="2"/>
  <c r="N65" i="2" s="1"/>
  <c r="B65" i="2"/>
  <c r="M65" i="2" s="1"/>
  <c r="K64" i="2"/>
  <c r="V64" i="2" s="1"/>
  <c r="J64" i="2"/>
  <c r="U64" i="2" s="1"/>
  <c r="I64" i="2"/>
  <c r="T64" i="2" s="1"/>
  <c r="H64" i="2"/>
  <c r="S64" i="2" s="1"/>
  <c r="G64" i="2"/>
  <c r="R64" i="2" s="1"/>
  <c r="F64" i="2"/>
  <c r="Q64" i="2" s="1"/>
  <c r="E64" i="2"/>
  <c r="P64" i="2" s="1"/>
  <c r="D64" i="2"/>
  <c r="O64" i="2" s="1"/>
  <c r="C64" i="2"/>
  <c r="N64" i="2" s="1"/>
  <c r="B64" i="2"/>
  <c r="M64" i="2" s="1"/>
  <c r="K63" i="2"/>
  <c r="V63" i="2" s="1"/>
  <c r="J63" i="2"/>
  <c r="U63" i="2" s="1"/>
  <c r="I63" i="2"/>
  <c r="T63" i="2" s="1"/>
  <c r="H63" i="2"/>
  <c r="S63" i="2" s="1"/>
  <c r="G63" i="2"/>
  <c r="R63" i="2" s="1"/>
  <c r="F63" i="2"/>
  <c r="Q63" i="2" s="1"/>
  <c r="E63" i="2"/>
  <c r="P63" i="2" s="1"/>
  <c r="D63" i="2"/>
  <c r="O63" i="2" s="1"/>
  <c r="C63" i="2"/>
  <c r="N63" i="2" s="1"/>
  <c r="B63" i="2"/>
  <c r="M63" i="2" s="1"/>
  <c r="K62" i="2"/>
  <c r="V62" i="2" s="1"/>
  <c r="J62" i="2"/>
  <c r="U62" i="2" s="1"/>
  <c r="I62" i="2"/>
  <c r="T62" i="2" s="1"/>
  <c r="H62" i="2"/>
  <c r="S62" i="2" s="1"/>
  <c r="G62" i="2"/>
  <c r="R62" i="2" s="1"/>
  <c r="F62" i="2"/>
  <c r="Q62" i="2" s="1"/>
  <c r="E62" i="2"/>
  <c r="P62" i="2" s="1"/>
  <c r="D62" i="2"/>
  <c r="O62" i="2" s="1"/>
  <c r="C62" i="2"/>
  <c r="N62" i="2" s="1"/>
  <c r="B62" i="2"/>
  <c r="M62" i="2" s="1"/>
  <c r="K61" i="2"/>
  <c r="V61" i="2" s="1"/>
  <c r="J61" i="2"/>
  <c r="U61" i="2" s="1"/>
  <c r="I61" i="2"/>
  <c r="T61" i="2" s="1"/>
  <c r="H61" i="2"/>
  <c r="S61" i="2" s="1"/>
  <c r="G61" i="2"/>
  <c r="R61" i="2" s="1"/>
  <c r="F61" i="2"/>
  <c r="Q61" i="2" s="1"/>
  <c r="E61" i="2"/>
  <c r="P61" i="2" s="1"/>
  <c r="D61" i="2"/>
  <c r="O61" i="2" s="1"/>
  <c r="C61" i="2"/>
  <c r="N61" i="2" s="1"/>
  <c r="B61" i="2"/>
  <c r="M61" i="2" s="1"/>
  <c r="K60" i="2"/>
  <c r="V60" i="2" s="1"/>
  <c r="J60" i="2"/>
  <c r="U60" i="2" s="1"/>
  <c r="I60" i="2"/>
  <c r="T60" i="2" s="1"/>
  <c r="H60" i="2"/>
  <c r="S60" i="2" s="1"/>
  <c r="G60" i="2"/>
  <c r="R60" i="2" s="1"/>
  <c r="F60" i="2"/>
  <c r="Q60" i="2" s="1"/>
  <c r="E60" i="2"/>
  <c r="P60" i="2" s="1"/>
  <c r="D60" i="2"/>
  <c r="O60" i="2" s="1"/>
  <c r="C60" i="2"/>
  <c r="N60" i="2" s="1"/>
  <c r="B60" i="2"/>
  <c r="M60" i="2" s="1"/>
  <c r="K59" i="2"/>
  <c r="V59" i="2" s="1"/>
  <c r="J59" i="2"/>
  <c r="U59" i="2" s="1"/>
  <c r="I59" i="2"/>
  <c r="T59" i="2" s="1"/>
  <c r="H59" i="2"/>
  <c r="S59" i="2" s="1"/>
  <c r="G59" i="2"/>
  <c r="R59" i="2" s="1"/>
  <c r="F59" i="2"/>
  <c r="Q59" i="2" s="1"/>
  <c r="E59" i="2"/>
  <c r="P59" i="2" s="1"/>
  <c r="D59" i="2"/>
  <c r="O59" i="2" s="1"/>
  <c r="C59" i="2"/>
  <c r="N59" i="2" s="1"/>
  <c r="B59" i="2"/>
  <c r="M59" i="2" s="1"/>
  <c r="K58" i="2"/>
  <c r="V58" i="2" s="1"/>
  <c r="J58" i="2"/>
  <c r="U58" i="2" s="1"/>
  <c r="I58" i="2"/>
  <c r="T58" i="2" s="1"/>
  <c r="H58" i="2"/>
  <c r="S58" i="2" s="1"/>
  <c r="G58" i="2"/>
  <c r="R58" i="2" s="1"/>
  <c r="F58" i="2"/>
  <c r="Q58" i="2" s="1"/>
  <c r="E58" i="2"/>
  <c r="P58" i="2" s="1"/>
  <c r="D58" i="2"/>
  <c r="O58" i="2" s="1"/>
  <c r="C58" i="2"/>
  <c r="N58" i="2" s="1"/>
  <c r="B58" i="2"/>
  <c r="M58" i="2" s="1"/>
  <c r="K57" i="2"/>
  <c r="V57" i="2" s="1"/>
  <c r="J57" i="2"/>
  <c r="U57" i="2" s="1"/>
  <c r="I57" i="2"/>
  <c r="T57" i="2" s="1"/>
  <c r="H57" i="2"/>
  <c r="S57" i="2" s="1"/>
  <c r="G57" i="2"/>
  <c r="R57" i="2" s="1"/>
  <c r="F57" i="2"/>
  <c r="Q57" i="2" s="1"/>
  <c r="E57" i="2"/>
  <c r="P57" i="2" s="1"/>
  <c r="D57" i="2"/>
  <c r="O57" i="2" s="1"/>
  <c r="C57" i="2"/>
  <c r="N57" i="2" s="1"/>
  <c r="B57" i="2"/>
  <c r="M57" i="2" s="1"/>
  <c r="K56" i="2"/>
  <c r="V56" i="2" s="1"/>
  <c r="J56" i="2"/>
  <c r="U56" i="2" s="1"/>
  <c r="I56" i="2"/>
  <c r="T56" i="2" s="1"/>
  <c r="H56" i="2"/>
  <c r="S56" i="2" s="1"/>
  <c r="G56" i="2"/>
  <c r="R56" i="2" s="1"/>
  <c r="F56" i="2"/>
  <c r="Q56" i="2" s="1"/>
  <c r="E56" i="2"/>
  <c r="P56" i="2" s="1"/>
  <c r="D56" i="2"/>
  <c r="O56" i="2" s="1"/>
  <c r="C56" i="2"/>
  <c r="N56" i="2" s="1"/>
  <c r="B56" i="2"/>
  <c r="M56" i="2" s="1"/>
  <c r="K55" i="2"/>
  <c r="V55" i="2" s="1"/>
  <c r="J55" i="2"/>
  <c r="U55" i="2" s="1"/>
  <c r="I55" i="2"/>
  <c r="T55" i="2" s="1"/>
  <c r="H55" i="2"/>
  <c r="S55" i="2" s="1"/>
  <c r="G55" i="2"/>
  <c r="R55" i="2" s="1"/>
  <c r="F55" i="2"/>
  <c r="Q55" i="2" s="1"/>
  <c r="E55" i="2"/>
  <c r="P55" i="2" s="1"/>
  <c r="D55" i="2"/>
  <c r="O55" i="2" s="1"/>
  <c r="C55" i="2"/>
  <c r="N55" i="2" s="1"/>
  <c r="B55" i="2"/>
  <c r="M55" i="2" s="1"/>
  <c r="K54" i="2"/>
  <c r="V54" i="2" s="1"/>
  <c r="J54" i="2"/>
  <c r="U54" i="2" s="1"/>
  <c r="I54" i="2"/>
  <c r="T54" i="2" s="1"/>
  <c r="H54" i="2"/>
  <c r="S54" i="2" s="1"/>
  <c r="G54" i="2"/>
  <c r="R54" i="2" s="1"/>
  <c r="F54" i="2"/>
  <c r="Q54" i="2" s="1"/>
  <c r="E54" i="2"/>
  <c r="P54" i="2" s="1"/>
  <c r="D54" i="2"/>
  <c r="O54" i="2" s="1"/>
  <c r="C54" i="2"/>
  <c r="N54" i="2" s="1"/>
  <c r="B54" i="2"/>
  <c r="M54" i="2" s="1"/>
  <c r="K53" i="2"/>
  <c r="V53" i="2" s="1"/>
  <c r="J53" i="2"/>
  <c r="U53" i="2" s="1"/>
  <c r="I53" i="2"/>
  <c r="T53" i="2" s="1"/>
  <c r="H53" i="2"/>
  <c r="S53" i="2" s="1"/>
  <c r="G53" i="2"/>
  <c r="R53" i="2" s="1"/>
  <c r="F53" i="2"/>
  <c r="Q53" i="2" s="1"/>
  <c r="E53" i="2"/>
  <c r="P53" i="2" s="1"/>
  <c r="D53" i="2"/>
  <c r="O53" i="2" s="1"/>
  <c r="C53" i="2"/>
  <c r="N53" i="2" s="1"/>
  <c r="B53" i="2"/>
  <c r="M53" i="2" s="1"/>
  <c r="K52" i="2"/>
  <c r="V52" i="2" s="1"/>
  <c r="J52" i="2"/>
  <c r="U52" i="2" s="1"/>
  <c r="I52" i="2"/>
  <c r="T52" i="2" s="1"/>
  <c r="H52" i="2"/>
  <c r="S52" i="2" s="1"/>
  <c r="G52" i="2"/>
  <c r="R52" i="2" s="1"/>
  <c r="F52" i="2"/>
  <c r="Q52" i="2" s="1"/>
  <c r="E52" i="2"/>
  <c r="P52" i="2" s="1"/>
  <c r="D52" i="2"/>
  <c r="O52" i="2" s="1"/>
  <c r="C52" i="2"/>
  <c r="N52" i="2" s="1"/>
  <c r="B52" i="2"/>
  <c r="M52" i="2" s="1"/>
  <c r="K51" i="2"/>
  <c r="V51" i="2" s="1"/>
  <c r="J51" i="2"/>
  <c r="U51" i="2" s="1"/>
  <c r="I51" i="2"/>
  <c r="T51" i="2" s="1"/>
  <c r="H51" i="2"/>
  <c r="S51" i="2" s="1"/>
  <c r="G51" i="2"/>
  <c r="R51" i="2" s="1"/>
  <c r="F51" i="2"/>
  <c r="Q51" i="2" s="1"/>
  <c r="E51" i="2"/>
  <c r="P51" i="2" s="1"/>
  <c r="D51" i="2"/>
  <c r="O51" i="2" s="1"/>
  <c r="C51" i="2"/>
  <c r="N51" i="2" s="1"/>
  <c r="B51" i="2"/>
  <c r="M51" i="2" s="1"/>
  <c r="K50" i="2"/>
  <c r="V50" i="2" s="1"/>
  <c r="J50" i="2"/>
  <c r="U50" i="2" s="1"/>
  <c r="I50" i="2"/>
  <c r="T50" i="2" s="1"/>
  <c r="H50" i="2"/>
  <c r="S50" i="2" s="1"/>
  <c r="G50" i="2"/>
  <c r="R50" i="2" s="1"/>
  <c r="F50" i="2"/>
  <c r="Q50" i="2" s="1"/>
  <c r="E50" i="2"/>
  <c r="P50" i="2" s="1"/>
  <c r="D50" i="2"/>
  <c r="O50" i="2" s="1"/>
  <c r="C50" i="2"/>
  <c r="N50" i="2" s="1"/>
  <c r="B50" i="2"/>
  <c r="M50" i="2" s="1"/>
  <c r="K49" i="2"/>
  <c r="V49" i="2" s="1"/>
  <c r="J49" i="2"/>
  <c r="U49" i="2" s="1"/>
  <c r="I49" i="2"/>
  <c r="T49" i="2" s="1"/>
  <c r="H49" i="2"/>
  <c r="S49" i="2" s="1"/>
  <c r="G49" i="2"/>
  <c r="R49" i="2" s="1"/>
  <c r="F49" i="2"/>
  <c r="Q49" i="2" s="1"/>
  <c r="E49" i="2"/>
  <c r="P49" i="2" s="1"/>
  <c r="D49" i="2"/>
  <c r="O49" i="2" s="1"/>
  <c r="C49" i="2"/>
  <c r="N49" i="2" s="1"/>
  <c r="B49" i="2"/>
  <c r="M49" i="2" s="1"/>
  <c r="K48" i="2"/>
  <c r="V48" i="2" s="1"/>
  <c r="J48" i="2"/>
  <c r="U48" i="2" s="1"/>
  <c r="I48" i="2"/>
  <c r="T48" i="2" s="1"/>
  <c r="H48" i="2"/>
  <c r="S48" i="2" s="1"/>
  <c r="G48" i="2"/>
  <c r="R48" i="2" s="1"/>
  <c r="F48" i="2"/>
  <c r="Q48" i="2" s="1"/>
  <c r="E48" i="2"/>
  <c r="P48" i="2" s="1"/>
  <c r="D48" i="2"/>
  <c r="O48" i="2" s="1"/>
  <c r="C48" i="2"/>
  <c r="N48" i="2" s="1"/>
  <c r="B48" i="2"/>
  <c r="M48" i="2" s="1"/>
  <c r="K47" i="2"/>
  <c r="V47" i="2" s="1"/>
  <c r="J47" i="2"/>
  <c r="U47" i="2" s="1"/>
  <c r="I47" i="2"/>
  <c r="T47" i="2" s="1"/>
  <c r="H47" i="2"/>
  <c r="S47" i="2" s="1"/>
  <c r="G47" i="2"/>
  <c r="R47" i="2" s="1"/>
  <c r="F47" i="2"/>
  <c r="Q47" i="2" s="1"/>
  <c r="E47" i="2"/>
  <c r="P47" i="2" s="1"/>
  <c r="D47" i="2"/>
  <c r="O47" i="2" s="1"/>
  <c r="C47" i="2"/>
  <c r="N47" i="2" s="1"/>
  <c r="B47" i="2"/>
  <c r="M47" i="2" s="1"/>
  <c r="K46" i="2"/>
  <c r="V46" i="2" s="1"/>
  <c r="J46" i="2"/>
  <c r="U46" i="2" s="1"/>
  <c r="I46" i="2"/>
  <c r="T46" i="2" s="1"/>
  <c r="H46" i="2"/>
  <c r="S46" i="2" s="1"/>
  <c r="G46" i="2"/>
  <c r="R46" i="2" s="1"/>
  <c r="F46" i="2"/>
  <c r="Q46" i="2" s="1"/>
  <c r="E46" i="2"/>
  <c r="P46" i="2" s="1"/>
  <c r="D46" i="2"/>
  <c r="O46" i="2" s="1"/>
  <c r="C46" i="2"/>
  <c r="N46" i="2" s="1"/>
  <c r="B46" i="2"/>
  <c r="M46" i="2" s="1"/>
  <c r="K45" i="2"/>
  <c r="V45" i="2" s="1"/>
  <c r="J45" i="2"/>
  <c r="U45" i="2" s="1"/>
  <c r="I45" i="2"/>
  <c r="T45" i="2" s="1"/>
  <c r="H45" i="2"/>
  <c r="S45" i="2" s="1"/>
  <c r="G45" i="2"/>
  <c r="R45" i="2" s="1"/>
  <c r="F45" i="2"/>
  <c r="Q45" i="2" s="1"/>
  <c r="E45" i="2"/>
  <c r="P45" i="2" s="1"/>
  <c r="D45" i="2"/>
  <c r="O45" i="2" s="1"/>
  <c r="C45" i="2"/>
  <c r="N45" i="2" s="1"/>
  <c r="B45" i="2"/>
  <c r="M45" i="2" s="1"/>
  <c r="K44" i="2"/>
  <c r="V44" i="2" s="1"/>
  <c r="J44" i="2"/>
  <c r="U44" i="2" s="1"/>
  <c r="I44" i="2"/>
  <c r="T44" i="2" s="1"/>
  <c r="H44" i="2"/>
  <c r="S44" i="2" s="1"/>
  <c r="G44" i="2"/>
  <c r="R44" i="2" s="1"/>
  <c r="F44" i="2"/>
  <c r="Q44" i="2" s="1"/>
  <c r="E44" i="2"/>
  <c r="P44" i="2" s="1"/>
  <c r="D44" i="2"/>
  <c r="O44" i="2" s="1"/>
  <c r="C44" i="2"/>
  <c r="N44" i="2" s="1"/>
  <c r="B44" i="2"/>
  <c r="M44" i="2" s="1"/>
  <c r="K43" i="2"/>
  <c r="V43" i="2" s="1"/>
  <c r="J43" i="2"/>
  <c r="U43" i="2" s="1"/>
  <c r="I43" i="2"/>
  <c r="T43" i="2" s="1"/>
  <c r="H43" i="2"/>
  <c r="S43" i="2" s="1"/>
  <c r="G43" i="2"/>
  <c r="R43" i="2" s="1"/>
  <c r="F43" i="2"/>
  <c r="Q43" i="2" s="1"/>
  <c r="E43" i="2"/>
  <c r="P43" i="2" s="1"/>
  <c r="D43" i="2"/>
  <c r="O43" i="2" s="1"/>
  <c r="C43" i="2"/>
  <c r="N43" i="2" s="1"/>
  <c r="B43" i="2"/>
  <c r="M43" i="2" s="1"/>
  <c r="K42" i="2"/>
  <c r="V42" i="2" s="1"/>
  <c r="J42" i="2"/>
  <c r="U42" i="2" s="1"/>
  <c r="I42" i="2"/>
  <c r="T42" i="2" s="1"/>
  <c r="H42" i="2"/>
  <c r="S42" i="2" s="1"/>
  <c r="G42" i="2"/>
  <c r="R42" i="2" s="1"/>
  <c r="F42" i="2"/>
  <c r="Q42" i="2" s="1"/>
  <c r="E42" i="2"/>
  <c r="P42" i="2" s="1"/>
  <c r="D42" i="2"/>
  <c r="O42" i="2" s="1"/>
  <c r="C42" i="2"/>
  <c r="N42" i="2" s="1"/>
  <c r="B42" i="2"/>
  <c r="M42" i="2" s="1"/>
  <c r="K41" i="2"/>
  <c r="V41" i="2" s="1"/>
  <c r="J41" i="2"/>
  <c r="U41" i="2" s="1"/>
  <c r="I41" i="2"/>
  <c r="T41" i="2" s="1"/>
  <c r="H41" i="2"/>
  <c r="S41" i="2" s="1"/>
  <c r="G41" i="2"/>
  <c r="R41" i="2" s="1"/>
  <c r="F41" i="2"/>
  <c r="Q41" i="2" s="1"/>
  <c r="E41" i="2"/>
  <c r="P41" i="2" s="1"/>
  <c r="D41" i="2"/>
  <c r="O41" i="2" s="1"/>
  <c r="C41" i="2"/>
  <c r="N41" i="2" s="1"/>
  <c r="B41" i="2"/>
  <c r="M41" i="2" s="1"/>
  <c r="K40" i="2"/>
  <c r="V40" i="2" s="1"/>
  <c r="J40" i="2"/>
  <c r="U40" i="2" s="1"/>
  <c r="I40" i="2"/>
  <c r="T40" i="2" s="1"/>
  <c r="H40" i="2"/>
  <c r="S40" i="2" s="1"/>
  <c r="G40" i="2"/>
  <c r="R40" i="2" s="1"/>
  <c r="F40" i="2"/>
  <c r="Q40" i="2" s="1"/>
  <c r="E40" i="2"/>
  <c r="P40" i="2" s="1"/>
  <c r="D40" i="2"/>
  <c r="O40" i="2" s="1"/>
  <c r="C40" i="2"/>
  <c r="N40" i="2" s="1"/>
  <c r="B40" i="2"/>
  <c r="M40" i="2" s="1"/>
  <c r="K39" i="2"/>
  <c r="V39" i="2" s="1"/>
  <c r="J39" i="2"/>
  <c r="U39" i="2" s="1"/>
  <c r="I39" i="2"/>
  <c r="T39" i="2" s="1"/>
  <c r="H39" i="2"/>
  <c r="S39" i="2" s="1"/>
  <c r="G39" i="2"/>
  <c r="R39" i="2" s="1"/>
  <c r="F39" i="2"/>
  <c r="Q39" i="2" s="1"/>
  <c r="E39" i="2"/>
  <c r="P39" i="2" s="1"/>
  <c r="D39" i="2"/>
  <c r="O39" i="2" s="1"/>
  <c r="C39" i="2"/>
  <c r="N39" i="2" s="1"/>
  <c r="B39" i="2"/>
  <c r="M39" i="2" s="1"/>
  <c r="K38" i="2"/>
  <c r="V38" i="2" s="1"/>
  <c r="J38" i="2"/>
  <c r="U38" i="2" s="1"/>
  <c r="I38" i="2"/>
  <c r="T38" i="2" s="1"/>
  <c r="H38" i="2"/>
  <c r="S38" i="2" s="1"/>
  <c r="G38" i="2"/>
  <c r="R38" i="2" s="1"/>
  <c r="F38" i="2"/>
  <c r="Q38" i="2" s="1"/>
  <c r="E38" i="2"/>
  <c r="P38" i="2" s="1"/>
  <c r="D38" i="2"/>
  <c r="O38" i="2" s="1"/>
  <c r="C38" i="2"/>
  <c r="N38" i="2" s="1"/>
  <c r="B38" i="2"/>
  <c r="M38" i="2" s="1"/>
  <c r="K37" i="2"/>
  <c r="V37" i="2" s="1"/>
  <c r="J37" i="2"/>
  <c r="U37" i="2" s="1"/>
  <c r="I37" i="2"/>
  <c r="T37" i="2" s="1"/>
  <c r="H37" i="2"/>
  <c r="S37" i="2" s="1"/>
  <c r="G37" i="2"/>
  <c r="R37" i="2" s="1"/>
  <c r="F37" i="2"/>
  <c r="Q37" i="2" s="1"/>
  <c r="E37" i="2"/>
  <c r="P37" i="2" s="1"/>
  <c r="D37" i="2"/>
  <c r="O37" i="2" s="1"/>
  <c r="C37" i="2"/>
  <c r="N37" i="2" s="1"/>
  <c r="B37" i="2"/>
  <c r="M37" i="2" s="1"/>
  <c r="K36" i="2"/>
  <c r="V36" i="2" s="1"/>
  <c r="J36" i="2"/>
  <c r="U36" i="2" s="1"/>
  <c r="I36" i="2"/>
  <c r="T36" i="2" s="1"/>
  <c r="H36" i="2"/>
  <c r="S36" i="2" s="1"/>
  <c r="G36" i="2"/>
  <c r="R36" i="2" s="1"/>
  <c r="F36" i="2"/>
  <c r="Q36" i="2" s="1"/>
  <c r="E36" i="2"/>
  <c r="P36" i="2" s="1"/>
  <c r="D36" i="2"/>
  <c r="O36" i="2" s="1"/>
  <c r="C36" i="2"/>
  <c r="N36" i="2" s="1"/>
  <c r="B36" i="2"/>
  <c r="M36" i="2" s="1"/>
  <c r="K35" i="2"/>
  <c r="V35" i="2" s="1"/>
  <c r="J35" i="2"/>
  <c r="U35" i="2" s="1"/>
  <c r="I35" i="2"/>
  <c r="T35" i="2" s="1"/>
  <c r="H35" i="2"/>
  <c r="S35" i="2" s="1"/>
  <c r="G35" i="2"/>
  <c r="R35" i="2" s="1"/>
  <c r="F35" i="2"/>
  <c r="Q35" i="2" s="1"/>
  <c r="E35" i="2"/>
  <c r="P35" i="2" s="1"/>
  <c r="D35" i="2"/>
  <c r="O35" i="2" s="1"/>
  <c r="C35" i="2"/>
  <c r="N35" i="2" s="1"/>
  <c r="B35" i="2"/>
  <c r="M35" i="2" s="1"/>
  <c r="K34" i="2"/>
  <c r="V34" i="2" s="1"/>
  <c r="J34" i="2"/>
  <c r="U34" i="2" s="1"/>
  <c r="I34" i="2"/>
  <c r="T34" i="2" s="1"/>
  <c r="H34" i="2"/>
  <c r="S34" i="2" s="1"/>
  <c r="G34" i="2"/>
  <c r="R34" i="2" s="1"/>
  <c r="F34" i="2"/>
  <c r="Q34" i="2" s="1"/>
  <c r="E34" i="2"/>
  <c r="P34" i="2" s="1"/>
  <c r="D34" i="2"/>
  <c r="O34" i="2" s="1"/>
  <c r="C34" i="2"/>
  <c r="N34" i="2" s="1"/>
  <c r="B34" i="2"/>
  <c r="M34" i="2" s="1"/>
  <c r="K33" i="2"/>
  <c r="V33" i="2" s="1"/>
  <c r="J33" i="2"/>
  <c r="U33" i="2" s="1"/>
  <c r="I33" i="2"/>
  <c r="T33" i="2" s="1"/>
  <c r="H33" i="2"/>
  <c r="S33" i="2" s="1"/>
  <c r="G33" i="2"/>
  <c r="R33" i="2" s="1"/>
  <c r="F33" i="2"/>
  <c r="Q33" i="2" s="1"/>
  <c r="E33" i="2"/>
  <c r="P33" i="2" s="1"/>
  <c r="D33" i="2"/>
  <c r="O33" i="2" s="1"/>
  <c r="C33" i="2"/>
  <c r="N33" i="2" s="1"/>
  <c r="B33" i="2"/>
  <c r="M33" i="2" s="1"/>
  <c r="K32" i="2"/>
  <c r="V32" i="2" s="1"/>
  <c r="W32" i="2" s="1"/>
  <c r="J32" i="2"/>
  <c r="U32" i="2" s="1"/>
  <c r="I32" i="2"/>
  <c r="T32" i="2" s="1"/>
  <c r="H32" i="2"/>
  <c r="S32" i="2" s="1"/>
  <c r="G32" i="2"/>
  <c r="R32" i="2" s="1"/>
  <c r="F32" i="2"/>
  <c r="Q32" i="2" s="1"/>
  <c r="E32" i="2"/>
  <c r="P32" i="2" s="1"/>
  <c r="D32" i="2"/>
  <c r="O32" i="2" s="1"/>
  <c r="C32" i="2"/>
  <c r="B32" i="2"/>
  <c r="K31" i="2"/>
  <c r="V31" i="2" s="1"/>
  <c r="W31" i="2" s="1"/>
  <c r="J31" i="2"/>
  <c r="U31" i="2" s="1"/>
  <c r="I31" i="2"/>
  <c r="T31" i="2" s="1"/>
  <c r="H31" i="2"/>
  <c r="S31" i="2" s="1"/>
  <c r="G31" i="2"/>
  <c r="R31" i="2" s="1"/>
  <c r="F31" i="2"/>
  <c r="Q31" i="2" s="1"/>
  <c r="E31" i="2"/>
  <c r="D31" i="2"/>
  <c r="C31" i="2"/>
  <c r="B31" i="2"/>
  <c r="K30" i="2"/>
  <c r="V30" i="2" s="1"/>
  <c r="W30" i="2" s="1"/>
  <c r="J30" i="2"/>
  <c r="U30" i="2" s="1"/>
  <c r="I30" i="2"/>
  <c r="T30" i="2" s="1"/>
  <c r="H30" i="2"/>
  <c r="S30" i="2" s="1"/>
  <c r="G30" i="2"/>
  <c r="R30" i="2" s="1"/>
  <c r="F30" i="2"/>
  <c r="E30" i="2"/>
  <c r="D30" i="2"/>
  <c r="C30" i="2"/>
  <c r="B30" i="2"/>
  <c r="K29" i="2"/>
  <c r="V29" i="2" s="1"/>
  <c r="W29" i="2" s="1"/>
  <c r="J29" i="2"/>
  <c r="U29" i="2" s="1"/>
  <c r="I29" i="2"/>
  <c r="T29" i="2" s="1"/>
  <c r="H29" i="2"/>
  <c r="S29" i="2" s="1"/>
  <c r="G29" i="2"/>
  <c r="F29" i="2"/>
  <c r="E29" i="2"/>
  <c r="D29" i="2"/>
  <c r="C29" i="2"/>
  <c r="B29" i="2"/>
  <c r="K28" i="2"/>
  <c r="V28" i="2" s="1"/>
  <c r="W28" i="2" s="1"/>
  <c r="J28" i="2"/>
  <c r="U28" i="2" s="1"/>
  <c r="I28" i="2"/>
  <c r="H28" i="2"/>
  <c r="G28" i="2"/>
  <c r="F28" i="2"/>
  <c r="E28" i="2"/>
  <c r="D28" i="2"/>
  <c r="C28" i="2"/>
  <c r="B28" i="2"/>
  <c r="W27" i="2"/>
  <c r="K27" i="2"/>
  <c r="J27" i="2"/>
  <c r="I27" i="2"/>
  <c r="H27" i="2"/>
  <c r="G27" i="2"/>
  <c r="F27" i="2"/>
  <c r="E27" i="2"/>
  <c r="D27" i="2"/>
  <c r="C27" i="2"/>
  <c r="B27" i="2"/>
  <c r="W26" i="2"/>
  <c r="K26" i="2"/>
  <c r="J26" i="2"/>
  <c r="I26" i="2"/>
  <c r="H26" i="2"/>
  <c r="G26" i="2"/>
  <c r="F26" i="2"/>
  <c r="E26" i="2"/>
  <c r="D26" i="2"/>
  <c r="C26" i="2"/>
  <c r="B26" i="2"/>
  <c r="W25" i="2"/>
  <c r="K25" i="2"/>
  <c r="J25" i="2"/>
  <c r="I25" i="2"/>
  <c r="H25" i="2"/>
  <c r="G25" i="2"/>
  <c r="F25" i="2"/>
  <c r="E25" i="2"/>
  <c r="D25" i="2"/>
  <c r="C25" i="2"/>
  <c r="B25" i="2"/>
  <c r="W24" i="2"/>
  <c r="K24" i="2"/>
  <c r="J24" i="2"/>
  <c r="I24" i="2"/>
  <c r="H24" i="2"/>
  <c r="G24" i="2"/>
  <c r="F24" i="2"/>
  <c r="E24" i="2"/>
  <c r="D24" i="2"/>
  <c r="C24" i="2"/>
  <c r="B24" i="2"/>
  <c r="W23" i="2"/>
  <c r="K23" i="2"/>
  <c r="J23" i="2"/>
  <c r="I23" i="2"/>
  <c r="H23" i="2"/>
  <c r="G23" i="2"/>
  <c r="F23" i="2"/>
  <c r="E23" i="2"/>
  <c r="D23" i="2"/>
  <c r="C23" i="2"/>
  <c r="B23" i="2"/>
  <c r="W22" i="2"/>
  <c r="K22" i="2"/>
  <c r="J22" i="2"/>
  <c r="I22" i="2"/>
  <c r="H22" i="2"/>
  <c r="G22" i="2"/>
  <c r="F22" i="2"/>
  <c r="E22" i="2"/>
  <c r="D22" i="2"/>
  <c r="C22" i="2"/>
  <c r="B22" i="2"/>
  <c r="W21" i="2"/>
  <c r="K21" i="2"/>
  <c r="J21" i="2"/>
  <c r="I21" i="2"/>
  <c r="H21" i="2"/>
  <c r="G21" i="2"/>
  <c r="F21" i="2"/>
  <c r="E21" i="2"/>
  <c r="D21" i="2"/>
  <c r="C21" i="2"/>
  <c r="B21" i="2"/>
  <c r="W20" i="2"/>
  <c r="K20" i="2"/>
  <c r="J20" i="2"/>
  <c r="I20" i="2"/>
  <c r="H20" i="2"/>
  <c r="G20" i="2"/>
  <c r="F20" i="2"/>
  <c r="E20" i="2"/>
  <c r="D20" i="2"/>
  <c r="C20" i="2"/>
  <c r="B20" i="2"/>
  <c r="W19" i="2"/>
  <c r="K19" i="2"/>
  <c r="J19" i="2"/>
  <c r="I19" i="2"/>
  <c r="H19" i="2"/>
  <c r="G19" i="2"/>
  <c r="F19" i="2"/>
  <c r="E19" i="2"/>
  <c r="D19" i="2"/>
  <c r="C19" i="2"/>
  <c r="B19" i="2"/>
  <c r="W18" i="2"/>
  <c r="K18" i="2"/>
  <c r="J18" i="2"/>
  <c r="I18" i="2"/>
  <c r="H18" i="2"/>
  <c r="G18" i="2"/>
  <c r="F18" i="2"/>
  <c r="E18" i="2"/>
  <c r="D18" i="2"/>
  <c r="C18" i="2"/>
  <c r="B18" i="2"/>
  <c r="W17" i="2"/>
  <c r="K17" i="2"/>
  <c r="J17" i="2"/>
  <c r="I17" i="2"/>
  <c r="H17" i="2"/>
  <c r="G17" i="2"/>
  <c r="F17" i="2"/>
  <c r="E17" i="2"/>
  <c r="D17" i="2"/>
  <c r="C17" i="2"/>
  <c r="B17" i="2"/>
  <c r="W16" i="2"/>
  <c r="K16" i="2"/>
  <c r="J16" i="2"/>
  <c r="I16" i="2"/>
  <c r="H16" i="2"/>
  <c r="G16" i="2"/>
  <c r="F16" i="2"/>
  <c r="E16" i="2"/>
  <c r="D16" i="2"/>
  <c r="C16" i="2"/>
  <c r="B16" i="2"/>
  <c r="W15" i="2"/>
  <c r="K15" i="2"/>
  <c r="J15" i="2"/>
  <c r="I15" i="2"/>
  <c r="H15" i="2"/>
  <c r="G15" i="2"/>
  <c r="F15" i="2"/>
  <c r="E15" i="2"/>
  <c r="D15" i="2"/>
  <c r="C15" i="2"/>
  <c r="B15" i="2"/>
  <c r="W14" i="2"/>
  <c r="K14" i="2"/>
  <c r="J14" i="2"/>
  <c r="I14" i="2"/>
  <c r="H14" i="2"/>
  <c r="G14" i="2"/>
  <c r="F14" i="2"/>
  <c r="E14" i="2"/>
  <c r="D14" i="2"/>
  <c r="C14" i="2"/>
  <c r="B14" i="2"/>
  <c r="W13" i="2"/>
  <c r="K13" i="2"/>
  <c r="J13" i="2"/>
  <c r="I13" i="2"/>
  <c r="H13" i="2"/>
  <c r="G13" i="2"/>
  <c r="F13" i="2"/>
  <c r="E13" i="2"/>
  <c r="D13" i="2"/>
  <c r="C13" i="2"/>
  <c r="B13" i="2"/>
  <c r="W12" i="2"/>
  <c r="K12" i="2"/>
  <c r="J12" i="2"/>
  <c r="I12" i="2"/>
  <c r="H12" i="2"/>
  <c r="G12" i="2"/>
  <c r="F12" i="2"/>
  <c r="E12" i="2"/>
  <c r="D12" i="2"/>
  <c r="C12" i="2"/>
  <c r="B12" i="2"/>
  <c r="W11" i="2"/>
  <c r="K11" i="2"/>
  <c r="J11" i="2"/>
  <c r="I11" i="2"/>
  <c r="H11" i="2"/>
  <c r="G11" i="2"/>
  <c r="F11" i="2"/>
  <c r="E11" i="2"/>
  <c r="D11" i="2"/>
  <c r="C11" i="2"/>
  <c r="B11" i="2"/>
  <c r="W10" i="2"/>
  <c r="K10" i="2"/>
  <c r="J10" i="2"/>
  <c r="I10" i="2"/>
  <c r="H10" i="2"/>
  <c r="G10" i="2"/>
  <c r="F10" i="2"/>
  <c r="E10" i="2"/>
  <c r="D10" i="2"/>
  <c r="C10" i="2"/>
  <c r="B10" i="2"/>
  <c r="W9" i="2"/>
  <c r="K9" i="2"/>
  <c r="J9" i="2"/>
  <c r="I9" i="2"/>
  <c r="H9" i="2"/>
  <c r="G9" i="2"/>
  <c r="F9" i="2"/>
  <c r="E9" i="2"/>
  <c r="D9" i="2"/>
  <c r="C9" i="2"/>
  <c r="B9" i="2"/>
  <c r="W8" i="2"/>
  <c r="K8" i="2"/>
  <c r="J8" i="2"/>
  <c r="I8" i="2"/>
  <c r="H8" i="2"/>
  <c r="G8" i="2"/>
  <c r="F8" i="2"/>
  <c r="E8" i="2"/>
  <c r="D8" i="2"/>
  <c r="C8" i="2"/>
  <c r="B8" i="2"/>
  <c r="W7" i="2"/>
  <c r="K7" i="2"/>
  <c r="J7" i="2"/>
  <c r="I7" i="2"/>
  <c r="H7" i="2"/>
  <c r="G7" i="2"/>
  <c r="F7" i="2"/>
  <c r="E7" i="2"/>
  <c r="D7" i="2"/>
  <c r="C7" i="2"/>
  <c r="B7" i="2"/>
  <c r="W6" i="2"/>
  <c r="K6" i="2"/>
  <c r="J6" i="2"/>
  <c r="I6" i="2"/>
  <c r="H6" i="2"/>
  <c r="G6" i="2"/>
  <c r="F6" i="2"/>
  <c r="E6" i="2"/>
  <c r="D6" i="2"/>
  <c r="C6" i="2"/>
  <c r="B6" i="2"/>
  <c r="W5" i="2"/>
  <c r="K5" i="2"/>
  <c r="J5" i="2"/>
  <c r="I5" i="2"/>
  <c r="H5" i="2"/>
  <c r="G5" i="2"/>
  <c r="F5" i="2"/>
  <c r="E5" i="2"/>
  <c r="D5" i="2"/>
  <c r="C5" i="2"/>
  <c r="B5" i="2"/>
  <c r="W4" i="2"/>
  <c r="K4" i="2"/>
  <c r="J4" i="2"/>
  <c r="I4" i="2"/>
  <c r="H4" i="2"/>
  <c r="G4" i="2"/>
  <c r="F4" i="2"/>
  <c r="E4" i="2"/>
  <c r="D4" i="2"/>
  <c r="C4" i="2"/>
  <c r="B4" i="2"/>
  <c r="W3" i="2"/>
  <c r="K3" i="2"/>
  <c r="J3" i="2"/>
  <c r="I3" i="2"/>
  <c r="H3" i="2"/>
  <c r="G3" i="2"/>
  <c r="F3" i="2"/>
  <c r="E3" i="2"/>
  <c r="D3" i="2"/>
  <c r="C3" i="2"/>
  <c r="B3" i="2"/>
  <c r="W2" i="2"/>
  <c r="K2" i="2"/>
  <c r="J2" i="2"/>
  <c r="I2" i="2"/>
  <c r="H2" i="2"/>
  <c r="G2" i="2"/>
  <c r="F2" i="2"/>
  <c r="E2" i="2"/>
  <c r="D2" i="2"/>
  <c r="C2" i="2"/>
  <c r="B2" i="2"/>
  <c r="K74" i="1"/>
  <c r="V74" i="1" s="1"/>
  <c r="J74" i="1"/>
  <c r="U74" i="1" s="1"/>
  <c r="I74" i="1"/>
  <c r="T74" i="1" s="1"/>
  <c r="H74" i="1"/>
  <c r="S74" i="1" s="1"/>
  <c r="G74" i="1"/>
  <c r="R74" i="1" s="1"/>
  <c r="F74" i="1"/>
  <c r="Q74" i="1" s="1"/>
  <c r="E74" i="1"/>
  <c r="P74" i="1" s="1"/>
  <c r="D74" i="1"/>
  <c r="O74" i="1" s="1"/>
  <c r="C74" i="1"/>
  <c r="N74" i="1" s="1"/>
  <c r="B74" i="1"/>
  <c r="M74" i="1" s="1"/>
  <c r="K73" i="1"/>
  <c r="V73" i="1" s="1"/>
  <c r="J73" i="1"/>
  <c r="U73" i="1" s="1"/>
  <c r="I73" i="1"/>
  <c r="T73" i="1" s="1"/>
  <c r="H73" i="1"/>
  <c r="S73" i="1" s="1"/>
  <c r="G73" i="1"/>
  <c r="R73" i="1" s="1"/>
  <c r="F73" i="1"/>
  <c r="Q73" i="1" s="1"/>
  <c r="E73" i="1"/>
  <c r="P73" i="1" s="1"/>
  <c r="D73" i="1"/>
  <c r="O73" i="1" s="1"/>
  <c r="C73" i="1"/>
  <c r="N73" i="1" s="1"/>
  <c r="B73" i="1"/>
  <c r="M73" i="1" s="1"/>
  <c r="K72" i="1"/>
  <c r="V72" i="1" s="1"/>
  <c r="J72" i="1"/>
  <c r="U72" i="1" s="1"/>
  <c r="I72" i="1"/>
  <c r="T72" i="1" s="1"/>
  <c r="H72" i="1"/>
  <c r="S72" i="1" s="1"/>
  <c r="G72" i="1"/>
  <c r="R72" i="1" s="1"/>
  <c r="F72" i="1"/>
  <c r="Q72" i="1" s="1"/>
  <c r="E72" i="1"/>
  <c r="P72" i="1" s="1"/>
  <c r="D72" i="1"/>
  <c r="O72" i="1" s="1"/>
  <c r="C72" i="1"/>
  <c r="N72" i="1" s="1"/>
  <c r="B72" i="1"/>
  <c r="M72" i="1" s="1"/>
  <c r="K71" i="1"/>
  <c r="V71" i="1" s="1"/>
  <c r="J71" i="1"/>
  <c r="U71" i="1" s="1"/>
  <c r="I71" i="1"/>
  <c r="T71" i="1" s="1"/>
  <c r="H71" i="1"/>
  <c r="S71" i="1" s="1"/>
  <c r="G71" i="1"/>
  <c r="R71" i="1" s="1"/>
  <c r="F71" i="1"/>
  <c r="Q71" i="1" s="1"/>
  <c r="E71" i="1"/>
  <c r="P71" i="1" s="1"/>
  <c r="D71" i="1"/>
  <c r="O71" i="1" s="1"/>
  <c r="C71" i="1"/>
  <c r="N71" i="1" s="1"/>
  <c r="B71" i="1"/>
  <c r="M71" i="1" s="1"/>
  <c r="K70" i="1"/>
  <c r="V70" i="1" s="1"/>
  <c r="J70" i="1"/>
  <c r="U70" i="1" s="1"/>
  <c r="I70" i="1"/>
  <c r="T70" i="1" s="1"/>
  <c r="H70" i="1"/>
  <c r="S70" i="1" s="1"/>
  <c r="G70" i="1"/>
  <c r="R70" i="1" s="1"/>
  <c r="F70" i="1"/>
  <c r="Q70" i="1" s="1"/>
  <c r="E70" i="1"/>
  <c r="P70" i="1" s="1"/>
  <c r="D70" i="1"/>
  <c r="O70" i="1" s="1"/>
  <c r="C70" i="1"/>
  <c r="N70" i="1" s="1"/>
  <c r="B70" i="1"/>
  <c r="M70" i="1" s="1"/>
  <c r="K69" i="1"/>
  <c r="V69" i="1" s="1"/>
  <c r="J69" i="1"/>
  <c r="U69" i="1" s="1"/>
  <c r="I69" i="1"/>
  <c r="T69" i="1" s="1"/>
  <c r="H69" i="1"/>
  <c r="S69" i="1" s="1"/>
  <c r="G69" i="1"/>
  <c r="R69" i="1" s="1"/>
  <c r="F69" i="1"/>
  <c r="Q69" i="1" s="1"/>
  <c r="E69" i="1"/>
  <c r="P69" i="1" s="1"/>
  <c r="D69" i="1"/>
  <c r="O69" i="1" s="1"/>
  <c r="C69" i="1"/>
  <c r="N69" i="1" s="1"/>
  <c r="B69" i="1"/>
  <c r="M69" i="1" s="1"/>
  <c r="K68" i="1"/>
  <c r="V68" i="1" s="1"/>
  <c r="J68" i="1"/>
  <c r="U68" i="1" s="1"/>
  <c r="I68" i="1"/>
  <c r="T68" i="1" s="1"/>
  <c r="H68" i="1"/>
  <c r="S68" i="1" s="1"/>
  <c r="G68" i="1"/>
  <c r="R68" i="1" s="1"/>
  <c r="F68" i="1"/>
  <c r="Q68" i="1" s="1"/>
  <c r="E68" i="1"/>
  <c r="P68" i="1" s="1"/>
  <c r="D68" i="1"/>
  <c r="O68" i="1" s="1"/>
  <c r="C68" i="1"/>
  <c r="N68" i="1" s="1"/>
  <c r="B68" i="1"/>
  <c r="M68" i="1" s="1"/>
  <c r="K67" i="1"/>
  <c r="V67" i="1" s="1"/>
  <c r="J67" i="1"/>
  <c r="U67" i="1" s="1"/>
  <c r="I67" i="1"/>
  <c r="T67" i="1" s="1"/>
  <c r="H67" i="1"/>
  <c r="S67" i="1" s="1"/>
  <c r="G67" i="1"/>
  <c r="R67" i="1" s="1"/>
  <c r="F67" i="1"/>
  <c r="Q67" i="1" s="1"/>
  <c r="E67" i="1"/>
  <c r="P67" i="1" s="1"/>
  <c r="D67" i="1"/>
  <c r="O67" i="1" s="1"/>
  <c r="C67" i="1"/>
  <c r="N67" i="1" s="1"/>
  <c r="B67" i="1"/>
  <c r="M67" i="1" s="1"/>
  <c r="K66" i="1"/>
  <c r="V66" i="1" s="1"/>
  <c r="J66" i="1"/>
  <c r="U66" i="1" s="1"/>
  <c r="I66" i="1"/>
  <c r="T66" i="1" s="1"/>
  <c r="H66" i="1"/>
  <c r="S66" i="1" s="1"/>
  <c r="G66" i="1"/>
  <c r="R66" i="1" s="1"/>
  <c r="F66" i="1"/>
  <c r="Q66" i="1" s="1"/>
  <c r="E66" i="1"/>
  <c r="P66" i="1" s="1"/>
  <c r="D66" i="1"/>
  <c r="O66" i="1" s="1"/>
  <c r="C66" i="1"/>
  <c r="N66" i="1" s="1"/>
  <c r="B66" i="1"/>
  <c r="M66" i="1" s="1"/>
  <c r="K65" i="1"/>
  <c r="V65" i="1" s="1"/>
  <c r="J65" i="1"/>
  <c r="U65" i="1" s="1"/>
  <c r="I65" i="1"/>
  <c r="T65" i="1" s="1"/>
  <c r="H65" i="1"/>
  <c r="S65" i="1" s="1"/>
  <c r="G65" i="1"/>
  <c r="R65" i="1" s="1"/>
  <c r="F65" i="1"/>
  <c r="Q65" i="1" s="1"/>
  <c r="E65" i="1"/>
  <c r="P65" i="1" s="1"/>
  <c r="D65" i="1"/>
  <c r="O65" i="1" s="1"/>
  <c r="C65" i="1"/>
  <c r="N65" i="1" s="1"/>
  <c r="B65" i="1"/>
  <c r="M65" i="1" s="1"/>
  <c r="K64" i="1"/>
  <c r="V64" i="1" s="1"/>
  <c r="J64" i="1"/>
  <c r="U64" i="1" s="1"/>
  <c r="I64" i="1"/>
  <c r="T64" i="1" s="1"/>
  <c r="H64" i="1"/>
  <c r="S64" i="1" s="1"/>
  <c r="G64" i="1"/>
  <c r="R64" i="1" s="1"/>
  <c r="F64" i="1"/>
  <c r="Q64" i="1" s="1"/>
  <c r="E64" i="1"/>
  <c r="P64" i="1" s="1"/>
  <c r="D64" i="1"/>
  <c r="O64" i="1" s="1"/>
  <c r="C64" i="1"/>
  <c r="N64" i="1" s="1"/>
  <c r="B64" i="1"/>
  <c r="M64" i="1" s="1"/>
  <c r="K63" i="1"/>
  <c r="V63" i="1" s="1"/>
  <c r="J63" i="1"/>
  <c r="U63" i="1" s="1"/>
  <c r="I63" i="1"/>
  <c r="T63" i="1" s="1"/>
  <c r="H63" i="1"/>
  <c r="S63" i="1" s="1"/>
  <c r="G63" i="1"/>
  <c r="R63" i="1" s="1"/>
  <c r="F63" i="1"/>
  <c r="Q63" i="1" s="1"/>
  <c r="E63" i="1"/>
  <c r="P63" i="1" s="1"/>
  <c r="D63" i="1"/>
  <c r="O63" i="1" s="1"/>
  <c r="C63" i="1"/>
  <c r="N63" i="1" s="1"/>
  <c r="B63" i="1"/>
  <c r="M63" i="1" s="1"/>
  <c r="K62" i="1"/>
  <c r="V62" i="1" s="1"/>
  <c r="J62" i="1"/>
  <c r="U62" i="1" s="1"/>
  <c r="I62" i="1"/>
  <c r="T62" i="1" s="1"/>
  <c r="H62" i="1"/>
  <c r="S62" i="1" s="1"/>
  <c r="G62" i="1"/>
  <c r="R62" i="1" s="1"/>
  <c r="F62" i="1"/>
  <c r="Q62" i="1" s="1"/>
  <c r="E62" i="1"/>
  <c r="P62" i="1" s="1"/>
  <c r="D62" i="1"/>
  <c r="O62" i="1" s="1"/>
  <c r="C62" i="1"/>
  <c r="N62" i="1" s="1"/>
  <c r="B62" i="1"/>
  <c r="M62" i="1" s="1"/>
  <c r="K61" i="1"/>
  <c r="V61" i="1" s="1"/>
  <c r="J61" i="1"/>
  <c r="U61" i="1" s="1"/>
  <c r="I61" i="1"/>
  <c r="T61" i="1" s="1"/>
  <c r="H61" i="1"/>
  <c r="S61" i="1" s="1"/>
  <c r="G61" i="1"/>
  <c r="R61" i="1" s="1"/>
  <c r="F61" i="1"/>
  <c r="Q61" i="1" s="1"/>
  <c r="E61" i="1"/>
  <c r="P61" i="1" s="1"/>
  <c r="D61" i="1"/>
  <c r="O61" i="1" s="1"/>
  <c r="C61" i="1"/>
  <c r="N61" i="1" s="1"/>
  <c r="B61" i="1"/>
  <c r="M61" i="1" s="1"/>
  <c r="K60" i="1"/>
  <c r="V60" i="1" s="1"/>
  <c r="J60" i="1"/>
  <c r="U60" i="1" s="1"/>
  <c r="I60" i="1"/>
  <c r="T60" i="1" s="1"/>
  <c r="H60" i="1"/>
  <c r="S60" i="1" s="1"/>
  <c r="G60" i="1"/>
  <c r="R60" i="1" s="1"/>
  <c r="F60" i="1"/>
  <c r="Q60" i="1" s="1"/>
  <c r="E60" i="1"/>
  <c r="P60" i="1" s="1"/>
  <c r="D60" i="1"/>
  <c r="O60" i="1" s="1"/>
  <c r="C60" i="1"/>
  <c r="N60" i="1" s="1"/>
  <c r="B60" i="1"/>
  <c r="M60" i="1" s="1"/>
  <c r="K59" i="1"/>
  <c r="V59" i="1" s="1"/>
  <c r="J59" i="1"/>
  <c r="U59" i="1" s="1"/>
  <c r="I59" i="1"/>
  <c r="T59" i="1" s="1"/>
  <c r="H59" i="1"/>
  <c r="S59" i="1" s="1"/>
  <c r="G59" i="1"/>
  <c r="R59" i="1" s="1"/>
  <c r="F59" i="1"/>
  <c r="Q59" i="1" s="1"/>
  <c r="E59" i="1"/>
  <c r="P59" i="1" s="1"/>
  <c r="D59" i="1"/>
  <c r="O59" i="1" s="1"/>
  <c r="C59" i="1"/>
  <c r="N59" i="1" s="1"/>
  <c r="B59" i="1"/>
  <c r="M59" i="1" s="1"/>
  <c r="K58" i="1"/>
  <c r="V58" i="1" s="1"/>
  <c r="J58" i="1"/>
  <c r="U58" i="1" s="1"/>
  <c r="I58" i="1"/>
  <c r="T58" i="1" s="1"/>
  <c r="H58" i="1"/>
  <c r="S58" i="1" s="1"/>
  <c r="G58" i="1"/>
  <c r="R58" i="1" s="1"/>
  <c r="F58" i="1"/>
  <c r="Q58" i="1" s="1"/>
  <c r="E58" i="1"/>
  <c r="P58" i="1" s="1"/>
  <c r="D58" i="1"/>
  <c r="O58" i="1" s="1"/>
  <c r="C58" i="1"/>
  <c r="N58" i="1" s="1"/>
  <c r="B58" i="1"/>
  <c r="M58" i="1" s="1"/>
  <c r="K57" i="1"/>
  <c r="V57" i="1" s="1"/>
  <c r="J57" i="1"/>
  <c r="U57" i="1" s="1"/>
  <c r="I57" i="1"/>
  <c r="T57" i="1" s="1"/>
  <c r="H57" i="1"/>
  <c r="S57" i="1" s="1"/>
  <c r="G57" i="1"/>
  <c r="R57" i="1" s="1"/>
  <c r="F57" i="1"/>
  <c r="Q57" i="1" s="1"/>
  <c r="E57" i="1"/>
  <c r="P57" i="1" s="1"/>
  <c r="D57" i="1"/>
  <c r="O57" i="1" s="1"/>
  <c r="C57" i="1"/>
  <c r="N57" i="1" s="1"/>
  <c r="B57" i="1"/>
  <c r="M57" i="1" s="1"/>
  <c r="K56" i="1"/>
  <c r="V56" i="1" s="1"/>
  <c r="J56" i="1"/>
  <c r="U56" i="1" s="1"/>
  <c r="I56" i="1"/>
  <c r="T56" i="1" s="1"/>
  <c r="H56" i="1"/>
  <c r="S56" i="1" s="1"/>
  <c r="G56" i="1"/>
  <c r="R56" i="1" s="1"/>
  <c r="F56" i="1"/>
  <c r="Q56" i="1" s="1"/>
  <c r="E56" i="1"/>
  <c r="P56" i="1" s="1"/>
  <c r="D56" i="1"/>
  <c r="O56" i="1" s="1"/>
  <c r="C56" i="1"/>
  <c r="N56" i="1" s="1"/>
  <c r="B56" i="1"/>
  <c r="M56" i="1" s="1"/>
  <c r="K55" i="1"/>
  <c r="V55" i="1" s="1"/>
  <c r="J55" i="1"/>
  <c r="U55" i="1" s="1"/>
  <c r="I55" i="1"/>
  <c r="T55" i="1" s="1"/>
  <c r="H55" i="1"/>
  <c r="S55" i="1" s="1"/>
  <c r="G55" i="1"/>
  <c r="R55" i="1" s="1"/>
  <c r="F55" i="1"/>
  <c r="Q55" i="1" s="1"/>
  <c r="E55" i="1"/>
  <c r="P55" i="1" s="1"/>
  <c r="D55" i="1"/>
  <c r="O55" i="1" s="1"/>
  <c r="C55" i="1"/>
  <c r="N55" i="1" s="1"/>
  <c r="B55" i="1"/>
  <c r="M55" i="1" s="1"/>
  <c r="K54" i="1"/>
  <c r="V54" i="1" s="1"/>
  <c r="J54" i="1"/>
  <c r="U54" i="1" s="1"/>
  <c r="I54" i="1"/>
  <c r="T54" i="1" s="1"/>
  <c r="H54" i="1"/>
  <c r="S54" i="1" s="1"/>
  <c r="G54" i="1"/>
  <c r="R54" i="1" s="1"/>
  <c r="F54" i="1"/>
  <c r="Q54" i="1" s="1"/>
  <c r="E54" i="1"/>
  <c r="P54" i="1" s="1"/>
  <c r="D54" i="1"/>
  <c r="O54" i="1" s="1"/>
  <c r="C54" i="1"/>
  <c r="N54" i="1" s="1"/>
  <c r="B54" i="1"/>
  <c r="M54" i="1" s="1"/>
  <c r="K53" i="1"/>
  <c r="V53" i="1" s="1"/>
  <c r="J53" i="1"/>
  <c r="U53" i="1" s="1"/>
  <c r="I53" i="1"/>
  <c r="T53" i="1" s="1"/>
  <c r="H53" i="1"/>
  <c r="S53" i="1" s="1"/>
  <c r="G53" i="1"/>
  <c r="R53" i="1" s="1"/>
  <c r="F53" i="1"/>
  <c r="Q53" i="1" s="1"/>
  <c r="E53" i="1"/>
  <c r="P53" i="1" s="1"/>
  <c r="D53" i="1"/>
  <c r="O53" i="1" s="1"/>
  <c r="C53" i="1"/>
  <c r="N53" i="1" s="1"/>
  <c r="B53" i="1"/>
  <c r="M53" i="1" s="1"/>
  <c r="K52" i="1"/>
  <c r="V52" i="1" s="1"/>
  <c r="J52" i="1"/>
  <c r="U52" i="1" s="1"/>
  <c r="I52" i="1"/>
  <c r="T52" i="1" s="1"/>
  <c r="H52" i="1"/>
  <c r="S52" i="1" s="1"/>
  <c r="G52" i="1"/>
  <c r="R52" i="1" s="1"/>
  <c r="F52" i="1"/>
  <c r="Q52" i="1" s="1"/>
  <c r="E52" i="1"/>
  <c r="P52" i="1" s="1"/>
  <c r="D52" i="1"/>
  <c r="O52" i="1" s="1"/>
  <c r="C52" i="1"/>
  <c r="N52" i="1" s="1"/>
  <c r="B52" i="1"/>
  <c r="M52" i="1" s="1"/>
  <c r="K51" i="1"/>
  <c r="V51" i="1" s="1"/>
  <c r="J51" i="1"/>
  <c r="U51" i="1" s="1"/>
  <c r="I51" i="1"/>
  <c r="T51" i="1" s="1"/>
  <c r="H51" i="1"/>
  <c r="S51" i="1" s="1"/>
  <c r="G51" i="1"/>
  <c r="R51" i="1" s="1"/>
  <c r="F51" i="1"/>
  <c r="Q51" i="1" s="1"/>
  <c r="E51" i="1"/>
  <c r="P51" i="1" s="1"/>
  <c r="D51" i="1"/>
  <c r="O51" i="1" s="1"/>
  <c r="C51" i="1"/>
  <c r="N51" i="1" s="1"/>
  <c r="B51" i="1"/>
  <c r="M51" i="1" s="1"/>
  <c r="K50" i="1"/>
  <c r="V50" i="1" s="1"/>
  <c r="J50" i="1"/>
  <c r="U50" i="1" s="1"/>
  <c r="I50" i="1"/>
  <c r="T50" i="1" s="1"/>
  <c r="H50" i="1"/>
  <c r="S50" i="1" s="1"/>
  <c r="G50" i="1"/>
  <c r="R50" i="1" s="1"/>
  <c r="F50" i="1"/>
  <c r="Q50" i="1" s="1"/>
  <c r="E50" i="1"/>
  <c r="P50" i="1" s="1"/>
  <c r="D50" i="1"/>
  <c r="O50" i="1" s="1"/>
  <c r="C50" i="1"/>
  <c r="N50" i="1" s="1"/>
  <c r="B50" i="1"/>
  <c r="M50" i="1" s="1"/>
  <c r="K49" i="1"/>
  <c r="V49" i="1" s="1"/>
  <c r="J49" i="1"/>
  <c r="U49" i="1" s="1"/>
  <c r="I49" i="1"/>
  <c r="T49" i="1" s="1"/>
  <c r="H49" i="1"/>
  <c r="S49" i="1" s="1"/>
  <c r="G49" i="1"/>
  <c r="R49" i="1" s="1"/>
  <c r="F49" i="1"/>
  <c r="Q49" i="1" s="1"/>
  <c r="E49" i="1"/>
  <c r="P49" i="1" s="1"/>
  <c r="D49" i="1"/>
  <c r="O49" i="1" s="1"/>
  <c r="C49" i="1"/>
  <c r="N49" i="1" s="1"/>
  <c r="B49" i="1"/>
  <c r="M49" i="1" s="1"/>
  <c r="K48" i="1"/>
  <c r="V48" i="1" s="1"/>
  <c r="J48" i="1"/>
  <c r="U48" i="1" s="1"/>
  <c r="I48" i="1"/>
  <c r="T48" i="1" s="1"/>
  <c r="H48" i="1"/>
  <c r="S48" i="1" s="1"/>
  <c r="G48" i="1"/>
  <c r="R48" i="1" s="1"/>
  <c r="F48" i="1"/>
  <c r="Q48" i="1" s="1"/>
  <c r="E48" i="1"/>
  <c r="P48" i="1" s="1"/>
  <c r="D48" i="1"/>
  <c r="O48" i="1" s="1"/>
  <c r="C48" i="1"/>
  <c r="N48" i="1" s="1"/>
  <c r="B48" i="1"/>
  <c r="M48" i="1" s="1"/>
  <c r="K47" i="1"/>
  <c r="V47" i="1" s="1"/>
  <c r="J47" i="1"/>
  <c r="U47" i="1" s="1"/>
  <c r="I47" i="1"/>
  <c r="T47" i="1" s="1"/>
  <c r="H47" i="1"/>
  <c r="S47" i="1" s="1"/>
  <c r="G47" i="1"/>
  <c r="R47" i="1" s="1"/>
  <c r="F47" i="1"/>
  <c r="Q47" i="1" s="1"/>
  <c r="E47" i="1"/>
  <c r="P47" i="1" s="1"/>
  <c r="D47" i="1"/>
  <c r="O47" i="1" s="1"/>
  <c r="C47" i="1"/>
  <c r="N47" i="1" s="1"/>
  <c r="B47" i="1"/>
  <c r="M47" i="1" s="1"/>
  <c r="K46" i="1"/>
  <c r="V46" i="1" s="1"/>
  <c r="J46" i="1"/>
  <c r="U46" i="1" s="1"/>
  <c r="I46" i="1"/>
  <c r="T46" i="1" s="1"/>
  <c r="H46" i="1"/>
  <c r="S46" i="1" s="1"/>
  <c r="G46" i="1"/>
  <c r="R46" i="1" s="1"/>
  <c r="F46" i="1"/>
  <c r="Q46" i="1" s="1"/>
  <c r="E46" i="1"/>
  <c r="P46" i="1" s="1"/>
  <c r="D46" i="1"/>
  <c r="O46" i="1" s="1"/>
  <c r="C46" i="1"/>
  <c r="N46" i="1" s="1"/>
  <c r="B46" i="1"/>
  <c r="M46" i="1" s="1"/>
  <c r="K45" i="1"/>
  <c r="V45" i="1" s="1"/>
  <c r="J45" i="1"/>
  <c r="U45" i="1" s="1"/>
  <c r="I45" i="1"/>
  <c r="T45" i="1" s="1"/>
  <c r="H45" i="1"/>
  <c r="S45" i="1" s="1"/>
  <c r="G45" i="1"/>
  <c r="R45" i="1" s="1"/>
  <c r="F45" i="1"/>
  <c r="Q45" i="1" s="1"/>
  <c r="E45" i="1"/>
  <c r="P45" i="1" s="1"/>
  <c r="D45" i="1"/>
  <c r="O45" i="1" s="1"/>
  <c r="C45" i="1"/>
  <c r="N45" i="1" s="1"/>
  <c r="B45" i="1"/>
  <c r="M45" i="1" s="1"/>
  <c r="K44" i="1"/>
  <c r="V44" i="1" s="1"/>
  <c r="J44" i="1"/>
  <c r="U44" i="1" s="1"/>
  <c r="I44" i="1"/>
  <c r="T44" i="1" s="1"/>
  <c r="H44" i="1"/>
  <c r="S44" i="1" s="1"/>
  <c r="G44" i="1"/>
  <c r="R44" i="1" s="1"/>
  <c r="F44" i="1"/>
  <c r="Q44" i="1" s="1"/>
  <c r="E44" i="1"/>
  <c r="P44" i="1" s="1"/>
  <c r="D44" i="1"/>
  <c r="O44" i="1" s="1"/>
  <c r="C44" i="1"/>
  <c r="N44" i="1" s="1"/>
  <c r="B44" i="1"/>
  <c r="M44" i="1" s="1"/>
  <c r="K43" i="1"/>
  <c r="V43" i="1" s="1"/>
  <c r="J43" i="1"/>
  <c r="U43" i="1" s="1"/>
  <c r="I43" i="1"/>
  <c r="T43" i="1" s="1"/>
  <c r="H43" i="1"/>
  <c r="S43" i="1" s="1"/>
  <c r="G43" i="1"/>
  <c r="R43" i="1" s="1"/>
  <c r="F43" i="1"/>
  <c r="Q43" i="1" s="1"/>
  <c r="E43" i="1"/>
  <c r="P43" i="1" s="1"/>
  <c r="D43" i="1"/>
  <c r="O43" i="1" s="1"/>
  <c r="C43" i="1"/>
  <c r="N43" i="1" s="1"/>
  <c r="B43" i="1"/>
  <c r="M43" i="1" s="1"/>
  <c r="K42" i="1"/>
  <c r="V42" i="1" s="1"/>
  <c r="J42" i="1"/>
  <c r="U42" i="1" s="1"/>
  <c r="I42" i="1"/>
  <c r="T42" i="1" s="1"/>
  <c r="H42" i="1"/>
  <c r="S42" i="1" s="1"/>
  <c r="G42" i="1"/>
  <c r="R42" i="1" s="1"/>
  <c r="F42" i="1"/>
  <c r="Q42" i="1" s="1"/>
  <c r="E42" i="1"/>
  <c r="P42" i="1" s="1"/>
  <c r="D42" i="1"/>
  <c r="O42" i="1" s="1"/>
  <c r="C42" i="1"/>
  <c r="N42" i="1" s="1"/>
  <c r="B42" i="1"/>
  <c r="M42" i="1" s="1"/>
  <c r="K41" i="1"/>
  <c r="V41" i="1" s="1"/>
  <c r="J41" i="1"/>
  <c r="U41" i="1" s="1"/>
  <c r="I41" i="1"/>
  <c r="T41" i="1" s="1"/>
  <c r="H41" i="1"/>
  <c r="S41" i="1" s="1"/>
  <c r="G41" i="1"/>
  <c r="R41" i="1" s="1"/>
  <c r="F41" i="1"/>
  <c r="Q41" i="1" s="1"/>
  <c r="E41" i="1"/>
  <c r="P41" i="1" s="1"/>
  <c r="D41" i="1"/>
  <c r="O41" i="1" s="1"/>
  <c r="C41" i="1"/>
  <c r="N41" i="1" s="1"/>
  <c r="B41" i="1"/>
  <c r="M41" i="1" s="1"/>
  <c r="K40" i="1"/>
  <c r="V40" i="1" s="1"/>
  <c r="J40" i="1"/>
  <c r="U40" i="1" s="1"/>
  <c r="I40" i="1"/>
  <c r="T40" i="1" s="1"/>
  <c r="H40" i="1"/>
  <c r="S40" i="1" s="1"/>
  <c r="G40" i="1"/>
  <c r="R40" i="1" s="1"/>
  <c r="F40" i="1"/>
  <c r="Q40" i="1" s="1"/>
  <c r="E40" i="1"/>
  <c r="P40" i="1" s="1"/>
  <c r="D40" i="1"/>
  <c r="O40" i="1" s="1"/>
  <c r="C40" i="1"/>
  <c r="N40" i="1" s="1"/>
  <c r="B40" i="1"/>
  <c r="M40" i="1" s="1"/>
  <c r="K39" i="1"/>
  <c r="V39" i="1" s="1"/>
  <c r="J39" i="1"/>
  <c r="U39" i="1" s="1"/>
  <c r="I39" i="1"/>
  <c r="T39" i="1" s="1"/>
  <c r="H39" i="1"/>
  <c r="S39" i="1" s="1"/>
  <c r="G39" i="1"/>
  <c r="R39" i="1" s="1"/>
  <c r="F39" i="1"/>
  <c r="Q39" i="1" s="1"/>
  <c r="E39" i="1"/>
  <c r="P39" i="1" s="1"/>
  <c r="D39" i="1"/>
  <c r="O39" i="1" s="1"/>
  <c r="C39" i="1"/>
  <c r="N39" i="1" s="1"/>
  <c r="B39" i="1"/>
  <c r="M39" i="1" s="1"/>
  <c r="K38" i="1"/>
  <c r="V38" i="1" s="1"/>
  <c r="J38" i="1"/>
  <c r="U38" i="1" s="1"/>
  <c r="I38" i="1"/>
  <c r="T38" i="1" s="1"/>
  <c r="H38" i="1"/>
  <c r="S38" i="1" s="1"/>
  <c r="G38" i="1"/>
  <c r="R38" i="1" s="1"/>
  <c r="F38" i="1"/>
  <c r="Q38" i="1" s="1"/>
  <c r="E38" i="1"/>
  <c r="P38" i="1" s="1"/>
  <c r="D38" i="1"/>
  <c r="O38" i="1" s="1"/>
  <c r="C38" i="1"/>
  <c r="N38" i="1" s="1"/>
  <c r="B38" i="1"/>
  <c r="M38" i="1" s="1"/>
  <c r="K37" i="1"/>
  <c r="V37" i="1" s="1"/>
  <c r="J37" i="1"/>
  <c r="U37" i="1" s="1"/>
  <c r="I37" i="1"/>
  <c r="T37" i="1" s="1"/>
  <c r="H37" i="1"/>
  <c r="S37" i="1" s="1"/>
  <c r="G37" i="1"/>
  <c r="R37" i="1" s="1"/>
  <c r="F37" i="1"/>
  <c r="Q37" i="1" s="1"/>
  <c r="E37" i="1"/>
  <c r="P37" i="1" s="1"/>
  <c r="D37" i="1"/>
  <c r="O37" i="1" s="1"/>
  <c r="C37" i="1"/>
  <c r="N37" i="1" s="1"/>
  <c r="B37" i="1"/>
  <c r="M37" i="1" s="1"/>
  <c r="K36" i="1"/>
  <c r="V36" i="1" s="1"/>
  <c r="J36" i="1"/>
  <c r="U36" i="1" s="1"/>
  <c r="I36" i="1"/>
  <c r="T36" i="1" s="1"/>
  <c r="H36" i="1"/>
  <c r="S36" i="1" s="1"/>
  <c r="G36" i="1"/>
  <c r="R36" i="1" s="1"/>
  <c r="F36" i="1"/>
  <c r="Q36" i="1" s="1"/>
  <c r="E36" i="1"/>
  <c r="P36" i="1" s="1"/>
  <c r="D36" i="1"/>
  <c r="O36" i="1" s="1"/>
  <c r="C36" i="1"/>
  <c r="N36" i="1" s="1"/>
  <c r="B36" i="1"/>
  <c r="M36" i="1" s="1"/>
  <c r="K35" i="1"/>
  <c r="V35" i="1" s="1"/>
  <c r="J35" i="1"/>
  <c r="U35" i="1" s="1"/>
  <c r="I35" i="1"/>
  <c r="T35" i="1" s="1"/>
  <c r="H35" i="1"/>
  <c r="S35" i="1" s="1"/>
  <c r="G35" i="1"/>
  <c r="R35" i="1" s="1"/>
  <c r="F35" i="1"/>
  <c r="Q35" i="1" s="1"/>
  <c r="E35" i="1"/>
  <c r="P35" i="1" s="1"/>
  <c r="D35" i="1"/>
  <c r="O35" i="1" s="1"/>
  <c r="C35" i="1"/>
  <c r="N35" i="1" s="1"/>
  <c r="B35" i="1"/>
  <c r="M35" i="1" s="1"/>
  <c r="K34" i="1"/>
  <c r="V34" i="1" s="1"/>
  <c r="J34" i="1"/>
  <c r="U34" i="1" s="1"/>
  <c r="I34" i="1"/>
  <c r="T34" i="1" s="1"/>
  <c r="H34" i="1"/>
  <c r="S34" i="1" s="1"/>
  <c r="G34" i="1"/>
  <c r="R34" i="1" s="1"/>
  <c r="F34" i="1"/>
  <c r="Q34" i="1" s="1"/>
  <c r="E34" i="1"/>
  <c r="P34" i="1" s="1"/>
  <c r="D34" i="1"/>
  <c r="O34" i="1" s="1"/>
  <c r="C34" i="1"/>
  <c r="N34" i="1" s="1"/>
  <c r="B34" i="1"/>
  <c r="M34" i="1" s="1"/>
  <c r="K33" i="1"/>
  <c r="V33" i="1" s="1"/>
  <c r="W33" i="1" s="1"/>
  <c r="J33" i="1"/>
  <c r="U33" i="1" s="1"/>
  <c r="I33" i="1"/>
  <c r="T33" i="1" s="1"/>
  <c r="H33" i="1"/>
  <c r="S33" i="1" s="1"/>
  <c r="G33" i="1"/>
  <c r="R33" i="1" s="1"/>
  <c r="F33" i="1"/>
  <c r="Q33" i="1" s="1"/>
  <c r="E33" i="1"/>
  <c r="P33" i="1" s="1"/>
  <c r="D33" i="1"/>
  <c r="C33" i="1"/>
  <c r="B33" i="1"/>
  <c r="K32" i="1"/>
  <c r="V32" i="1" s="1"/>
  <c r="W32" i="1" s="1"/>
  <c r="J32" i="1"/>
  <c r="U32" i="1" s="1"/>
  <c r="I32" i="1"/>
  <c r="T32" i="1" s="1"/>
  <c r="H32" i="1"/>
  <c r="S32" i="1" s="1"/>
  <c r="G32" i="1"/>
  <c r="R32" i="1" s="1"/>
  <c r="F32" i="1"/>
  <c r="Q32" i="1" s="1"/>
  <c r="E32" i="1"/>
  <c r="D32" i="1"/>
  <c r="C32" i="1"/>
  <c r="B32" i="1"/>
  <c r="K31" i="1"/>
  <c r="V31" i="1" s="1"/>
  <c r="W31" i="1" s="1"/>
  <c r="J31" i="1"/>
  <c r="U31" i="1" s="1"/>
  <c r="I31" i="1"/>
  <c r="T31" i="1" s="1"/>
  <c r="H31" i="1"/>
  <c r="S31" i="1" s="1"/>
  <c r="G31" i="1"/>
  <c r="F31" i="1"/>
  <c r="E31" i="1"/>
  <c r="D31" i="1"/>
  <c r="C31" i="1"/>
  <c r="B31" i="1"/>
  <c r="K30" i="1"/>
  <c r="V30" i="1" s="1"/>
  <c r="W30" i="1" s="1"/>
  <c r="J30" i="1"/>
  <c r="U30" i="1" s="1"/>
  <c r="I30" i="1"/>
  <c r="T30" i="1" s="1"/>
  <c r="H30" i="1"/>
  <c r="G30" i="1"/>
  <c r="F30" i="1"/>
  <c r="E30" i="1"/>
  <c r="D30" i="1"/>
  <c r="C30" i="1"/>
  <c r="B30" i="1"/>
  <c r="W29" i="1"/>
  <c r="K29" i="1"/>
  <c r="J29" i="1"/>
  <c r="I29" i="1"/>
  <c r="H29" i="1"/>
  <c r="G29" i="1"/>
  <c r="F29" i="1"/>
  <c r="E29" i="1"/>
  <c r="D29" i="1"/>
  <c r="C29" i="1"/>
  <c r="B29" i="1"/>
  <c r="W28" i="1"/>
  <c r="K28" i="1"/>
  <c r="J28" i="1"/>
  <c r="I28" i="1"/>
  <c r="H28" i="1"/>
  <c r="G28" i="1"/>
  <c r="F28" i="1"/>
  <c r="E28" i="1"/>
  <c r="D28" i="1"/>
  <c r="C28" i="1"/>
  <c r="B28" i="1"/>
  <c r="W27" i="1"/>
  <c r="K27" i="1"/>
  <c r="J27" i="1"/>
  <c r="I27" i="1"/>
  <c r="H27" i="1"/>
  <c r="G27" i="1"/>
  <c r="F27" i="1"/>
  <c r="E27" i="1"/>
  <c r="D27" i="1"/>
  <c r="C27" i="1"/>
  <c r="B27" i="1"/>
  <c r="W26" i="1"/>
  <c r="K26" i="1"/>
  <c r="J26" i="1"/>
  <c r="I26" i="1"/>
  <c r="H26" i="1"/>
  <c r="G26" i="1"/>
  <c r="F26" i="1"/>
  <c r="E26" i="1"/>
  <c r="D26" i="1"/>
  <c r="C26" i="1"/>
  <c r="B26" i="1"/>
  <c r="W25" i="1"/>
  <c r="K25" i="1"/>
  <c r="J25" i="1"/>
  <c r="I25" i="1"/>
  <c r="H25" i="1"/>
  <c r="G25" i="1"/>
  <c r="F25" i="1"/>
  <c r="E25" i="1"/>
  <c r="D25" i="1"/>
  <c r="C25" i="1"/>
  <c r="B25" i="1"/>
  <c r="W24" i="1"/>
  <c r="K24" i="1"/>
  <c r="J24" i="1"/>
  <c r="I24" i="1"/>
  <c r="H24" i="1"/>
  <c r="G24" i="1"/>
  <c r="F24" i="1"/>
  <c r="E24" i="1"/>
  <c r="D24" i="1"/>
  <c r="C24" i="1"/>
  <c r="B24" i="1"/>
  <c r="W23" i="1"/>
  <c r="K23" i="1"/>
  <c r="J23" i="1"/>
  <c r="I23" i="1"/>
  <c r="H23" i="1"/>
  <c r="G23" i="1"/>
  <c r="F23" i="1"/>
  <c r="E23" i="1"/>
  <c r="D23" i="1"/>
  <c r="C23" i="1"/>
  <c r="B23" i="1"/>
  <c r="W22" i="1"/>
  <c r="K22" i="1"/>
  <c r="J22" i="1"/>
  <c r="I22" i="1"/>
  <c r="H22" i="1"/>
  <c r="G22" i="1"/>
  <c r="F22" i="1"/>
  <c r="E22" i="1"/>
  <c r="D22" i="1"/>
  <c r="C22" i="1"/>
  <c r="B22" i="1"/>
  <c r="W21" i="1"/>
  <c r="K21" i="1"/>
  <c r="J21" i="1"/>
  <c r="I21" i="1"/>
  <c r="H21" i="1"/>
  <c r="G21" i="1"/>
  <c r="F21" i="1"/>
  <c r="E21" i="1"/>
  <c r="D21" i="1"/>
  <c r="C21" i="1"/>
  <c r="B21" i="1"/>
  <c r="W20" i="1"/>
  <c r="K20" i="1"/>
  <c r="J20" i="1"/>
  <c r="I20" i="1"/>
  <c r="H20" i="1"/>
  <c r="G20" i="1"/>
  <c r="F20" i="1"/>
  <c r="E20" i="1"/>
  <c r="D20" i="1"/>
  <c r="C20" i="1"/>
  <c r="B20" i="1"/>
  <c r="W19" i="1"/>
  <c r="K19" i="1"/>
  <c r="J19" i="1"/>
  <c r="I19" i="1"/>
  <c r="H19" i="1"/>
  <c r="G19" i="1"/>
  <c r="F19" i="1"/>
  <c r="E19" i="1"/>
  <c r="D19" i="1"/>
  <c r="C19" i="1"/>
  <c r="B19" i="1"/>
  <c r="W18" i="1"/>
  <c r="K18" i="1"/>
  <c r="J18" i="1"/>
  <c r="I18" i="1"/>
  <c r="H18" i="1"/>
  <c r="G18" i="1"/>
  <c r="F18" i="1"/>
  <c r="E18" i="1"/>
  <c r="D18" i="1"/>
  <c r="C18" i="1"/>
  <c r="B18" i="1"/>
  <c r="W17" i="1"/>
  <c r="K17" i="1"/>
  <c r="J17" i="1"/>
  <c r="I17" i="1"/>
  <c r="H17" i="1"/>
  <c r="G17" i="1"/>
  <c r="F17" i="1"/>
  <c r="E17" i="1"/>
  <c r="D17" i="1"/>
  <c r="C17" i="1"/>
  <c r="B17" i="1"/>
  <c r="W16" i="1"/>
  <c r="K16" i="1"/>
  <c r="J16" i="1"/>
  <c r="I16" i="1"/>
  <c r="H16" i="1"/>
  <c r="G16" i="1"/>
  <c r="F16" i="1"/>
  <c r="E16" i="1"/>
  <c r="D16" i="1"/>
  <c r="C16" i="1"/>
  <c r="B16" i="1"/>
  <c r="W15" i="1"/>
  <c r="K15" i="1"/>
  <c r="J15" i="1"/>
  <c r="I15" i="1"/>
  <c r="H15" i="1"/>
  <c r="G15" i="1"/>
  <c r="F15" i="1"/>
  <c r="E15" i="1"/>
  <c r="D15" i="1"/>
  <c r="C15" i="1"/>
  <c r="B15" i="1"/>
  <c r="W14" i="1"/>
  <c r="K14" i="1"/>
  <c r="J14" i="1"/>
  <c r="I14" i="1"/>
  <c r="H14" i="1"/>
  <c r="G14" i="1"/>
  <c r="F14" i="1"/>
  <c r="E14" i="1"/>
  <c r="D14" i="1"/>
  <c r="C14" i="1"/>
  <c r="B14" i="1"/>
  <c r="W13" i="1"/>
  <c r="K13" i="1"/>
  <c r="J13" i="1"/>
  <c r="I13" i="1"/>
  <c r="H13" i="1"/>
  <c r="G13" i="1"/>
  <c r="F13" i="1"/>
  <c r="E13" i="1"/>
  <c r="D13" i="1"/>
  <c r="C13" i="1"/>
  <c r="B13" i="1"/>
  <c r="W12" i="1"/>
  <c r="K12" i="1"/>
  <c r="J12" i="1"/>
  <c r="I12" i="1"/>
  <c r="H12" i="1"/>
  <c r="G12" i="1"/>
  <c r="F12" i="1"/>
  <c r="E12" i="1"/>
  <c r="D12" i="1"/>
  <c r="C12" i="1"/>
  <c r="B12" i="1"/>
  <c r="W11" i="1"/>
  <c r="K11" i="1"/>
  <c r="J11" i="1"/>
  <c r="I11" i="1"/>
  <c r="H11" i="1"/>
  <c r="G11" i="1"/>
  <c r="F11" i="1"/>
  <c r="E11" i="1"/>
  <c r="D11" i="1"/>
  <c r="C11" i="1"/>
  <c r="B11" i="1"/>
  <c r="W10" i="1"/>
  <c r="K10" i="1"/>
  <c r="J10" i="1"/>
  <c r="I10" i="1"/>
  <c r="H10" i="1"/>
  <c r="G10" i="1"/>
  <c r="F10" i="1"/>
  <c r="E10" i="1"/>
  <c r="D10" i="1"/>
  <c r="C10" i="1"/>
  <c r="B10" i="1"/>
  <c r="W9" i="1"/>
  <c r="K9" i="1"/>
  <c r="J9" i="1"/>
  <c r="I9" i="1"/>
  <c r="H9" i="1"/>
  <c r="G9" i="1"/>
  <c r="F9" i="1"/>
  <c r="E9" i="1"/>
  <c r="D9" i="1"/>
  <c r="C9" i="1"/>
  <c r="B9" i="1"/>
  <c r="W8" i="1"/>
  <c r="K8" i="1"/>
  <c r="J8" i="1"/>
  <c r="I8" i="1"/>
  <c r="H8" i="1"/>
  <c r="G8" i="1"/>
  <c r="F8" i="1"/>
  <c r="E8" i="1"/>
  <c r="D8" i="1"/>
  <c r="C8" i="1"/>
  <c r="B8" i="1"/>
  <c r="W7" i="1"/>
  <c r="K7" i="1"/>
  <c r="J7" i="1"/>
  <c r="I7" i="1"/>
  <c r="H7" i="1"/>
  <c r="G7" i="1"/>
  <c r="F7" i="1"/>
  <c r="E7" i="1"/>
  <c r="D7" i="1"/>
  <c r="C7" i="1"/>
  <c r="B7" i="1"/>
  <c r="W6" i="1"/>
  <c r="K6" i="1"/>
  <c r="J6" i="1"/>
  <c r="I6" i="1"/>
  <c r="H6" i="1"/>
  <c r="G6" i="1"/>
  <c r="F6" i="1"/>
  <c r="E6" i="1"/>
  <c r="D6" i="1"/>
  <c r="C6" i="1"/>
  <c r="B6" i="1"/>
  <c r="W5" i="1"/>
  <c r="K5" i="1"/>
  <c r="J5" i="1"/>
  <c r="I5" i="1"/>
  <c r="H5" i="1"/>
  <c r="G5" i="1"/>
  <c r="F5" i="1"/>
  <c r="E5" i="1"/>
  <c r="D5" i="1"/>
  <c r="C5" i="1"/>
  <c r="B5" i="1"/>
  <c r="W4" i="1"/>
  <c r="K4" i="1"/>
  <c r="J4" i="1"/>
  <c r="I4" i="1"/>
  <c r="H4" i="1"/>
  <c r="G4" i="1"/>
  <c r="F4" i="1"/>
  <c r="E4" i="1"/>
  <c r="D4" i="1"/>
  <c r="C4" i="1"/>
  <c r="B4" i="1"/>
  <c r="W3" i="1"/>
  <c r="K3" i="1"/>
  <c r="J3" i="1"/>
  <c r="I3" i="1"/>
  <c r="H3" i="1"/>
  <c r="G3" i="1"/>
  <c r="F3" i="1"/>
  <c r="E3" i="1"/>
  <c r="D3" i="1"/>
  <c r="C3" i="1"/>
  <c r="B3" i="1"/>
  <c r="W2" i="1"/>
  <c r="K2" i="1"/>
  <c r="J2" i="1"/>
  <c r="I2" i="1"/>
  <c r="H2" i="1"/>
  <c r="G2" i="1"/>
  <c r="F2" i="1"/>
  <c r="E2" i="1"/>
  <c r="D2" i="1"/>
  <c r="C2" i="1"/>
  <c r="B2" i="1"/>
  <c r="W74" i="1" l="1"/>
  <c r="W43" i="2"/>
  <c r="W37" i="3"/>
  <c r="W48" i="4"/>
  <c r="W63" i="1"/>
  <c r="W63" i="2"/>
  <c r="W68" i="1"/>
  <c r="W36" i="1"/>
  <c r="W28" i="4"/>
  <c r="W32" i="3"/>
  <c r="W72" i="2"/>
  <c r="W41" i="2"/>
  <c r="W37" i="4"/>
  <c r="W52" i="4"/>
  <c r="W39" i="3"/>
  <c r="W45" i="1"/>
  <c r="W69" i="1"/>
  <c r="W64" i="2"/>
  <c r="W35" i="2"/>
  <c r="W47" i="4"/>
  <c r="W37" i="2"/>
  <c r="W60" i="1"/>
  <c r="W40" i="2"/>
  <c r="W55" i="3"/>
  <c r="W35" i="4"/>
  <c r="W49" i="4"/>
  <c r="W50" i="1"/>
  <c r="W37" i="1"/>
  <c r="W44" i="1"/>
  <c r="W36" i="3"/>
  <c r="W48" i="3"/>
  <c r="W29" i="4"/>
  <c r="W42" i="1"/>
  <c r="W55" i="1"/>
  <c r="W54" i="2"/>
  <c r="W53" i="3"/>
  <c r="W32" i="4"/>
  <c r="W70" i="2"/>
  <c r="W34" i="4"/>
  <c r="W70" i="1"/>
  <c r="W49" i="3"/>
  <c r="W53" i="1"/>
  <c r="W57" i="2"/>
  <c r="W60" i="2"/>
  <c r="W28" i="3"/>
  <c r="W33" i="3"/>
  <c r="W41" i="3"/>
  <c r="W45" i="3"/>
  <c r="W54" i="3"/>
  <c r="W30" i="4"/>
  <c r="W57" i="1"/>
  <c r="W73" i="1"/>
  <c r="W40" i="4"/>
  <c r="W47" i="1"/>
  <c r="W71" i="1"/>
  <c r="W48" i="2"/>
  <c r="W39" i="1"/>
  <c r="W66" i="1"/>
  <c r="W72" i="1"/>
  <c r="W49" i="2"/>
  <c r="W45" i="4"/>
  <c r="W49" i="1"/>
  <c r="W33" i="2"/>
  <c r="W46" i="2"/>
  <c r="W61" i="1"/>
  <c r="W34" i="1"/>
  <c r="W41" i="1"/>
  <c r="W38" i="2"/>
  <c r="W65" i="2"/>
  <c r="W69" i="2"/>
  <c r="W68" i="2"/>
  <c r="W40" i="3"/>
  <c r="W66" i="2"/>
  <c r="W67" i="2"/>
  <c r="W31" i="3"/>
  <c r="W52" i="2"/>
  <c r="W34" i="2"/>
  <c r="W36" i="2"/>
  <c r="W51" i="2"/>
  <c r="W56" i="2"/>
  <c r="W71" i="2"/>
  <c r="W47" i="3"/>
  <c r="W31" i="4"/>
  <c r="W39" i="4"/>
  <c r="W44" i="4"/>
  <c r="W50" i="4"/>
  <c r="W38" i="4"/>
  <c r="W61" i="2"/>
  <c r="W27" i="3"/>
  <c r="W42" i="3"/>
  <c r="W46" i="4"/>
  <c r="W53" i="4"/>
  <c r="W39" i="2"/>
  <c r="W58" i="2"/>
  <c r="W59" i="2"/>
  <c r="W62" i="2"/>
  <c r="W24" i="3"/>
  <c r="W27" i="4"/>
  <c r="W58" i="1"/>
  <c r="W65" i="1"/>
  <c r="W42" i="2"/>
  <c r="W44" i="2"/>
  <c r="W26" i="3"/>
  <c r="W24" i="4"/>
  <c r="W26" i="4"/>
  <c r="W43" i="1"/>
  <c r="W51" i="1"/>
  <c r="W54" i="1"/>
  <c r="W48" i="1"/>
  <c r="W35" i="1"/>
  <c r="W40" i="1"/>
  <c r="W46" i="1"/>
  <c r="W67" i="1"/>
  <c r="W38" i="1"/>
  <c r="W59" i="1"/>
  <c r="W64" i="1"/>
  <c r="W52" i="1"/>
  <c r="W56" i="1"/>
  <c r="W62" i="1"/>
  <c r="W47" i="2"/>
  <c r="W23" i="4"/>
  <c r="W36" i="4"/>
  <c r="W51" i="4"/>
  <c r="W50" i="2"/>
  <c r="W53" i="2"/>
  <c r="W23" i="3"/>
  <c r="W45" i="2"/>
  <c r="W55" i="2"/>
  <c r="W25" i="3"/>
  <c r="W29" i="3"/>
  <c r="W44" i="3"/>
  <c r="W33" i="4"/>
  <c r="W38" i="3"/>
  <c r="W43" i="3"/>
  <c r="W34" i="3"/>
  <c r="W50" i="3"/>
  <c r="W41" i="4"/>
  <c r="W52" i="3"/>
  <c r="W43" i="4"/>
  <c r="W30" i="3"/>
  <c r="W35" i="3"/>
  <c r="W46" i="3"/>
  <c r="W51" i="3"/>
  <c r="W25" i="4"/>
  <c r="W42" i="4"/>
  <c r="W54" i="4"/>
  <c r="W75" i="1" l="1"/>
  <c r="W56" i="3"/>
  <c r="W55" i="4"/>
  <c r="W73" i="2"/>
</calcChain>
</file>

<file path=xl/sharedStrings.xml><?xml version="1.0" encoding="utf-8"?>
<sst xmlns="http://schemas.openxmlformats.org/spreadsheetml/2006/main" count="321" uniqueCount="261">
  <si>
    <t>Mountain
Blvd. &amp;
Moraga Ave.</t>
  </si>
  <si>
    <t>Park Blvd. &amp;
MacArthur
Blvd.</t>
  </si>
  <si>
    <t>1st Ave. &amp;
International
Blvd.</t>
  </si>
  <si>
    <t>15th St. &amp;
Broadway</t>
  </si>
  <si>
    <t>40th St.
&amp; Martin
Luther King
Jr. Way</t>
  </si>
  <si>
    <t>Shattuck
Ave. &amp;
Alcatraz Ave.</t>
  </si>
  <si>
    <t>Allston Way
&amp; Shattuck
Ave.</t>
  </si>
  <si>
    <t>Solano
Ave. &amp; The
Alameda</t>
  </si>
  <si>
    <t>Buchanan
St. &amp; San
Pablo Ave.</t>
  </si>
  <si>
    <t>10th St. &amp;
Monroe St.</t>
  </si>
  <si>
    <t>4:50 5:00 5:06 5:12 5:21 5:28 5:36 5:43 5:49 5:50</t>
  </si>
  <si>
    <t>5:10 5:20 5:26 5:32 5:41 5:48 5:56 6:03 6:09 6:10</t>
  </si>
  <si>
    <t>5:30 5:40 5:46 5:52 6:01 6:08 6:16 6:23 6:29 6:30</t>
  </si>
  <si>
    <t>5:50 6:00 6:06 6:12 6:21 6:28 6:36 6:43 6:49 6:50</t>
  </si>
  <si>
    <t>6:05 6:15 6:21 6:27 6:36 6:43 6:51 6:58 7:04 7:05</t>
  </si>
  <si>
    <t>6:20 6:30 6:36 6:42 6:51 6:58 7:06 7:13 7:19 7:20</t>
  </si>
  <si>
    <t>6:35 6:45 6:51 6:57 7:06 7:13 7:21 7:28 7:34 7:35</t>
  </si>
  <si>
    <t>6:50 7:00 7:06 7:12 7:21 7:28 7:36 7:43 7:49 7:50</t>
  </si>
  <si>
    <t>7:05 7:16 7:24 7:32 7:44 7:53 8:01 8:10 8:16 8:17</t>
  </si>
  <si>
    <t>7:20 7:31 7:39 7:47 7:59 8:08 8:16 8:25 8:31 8:32</t>
  </si>
  <si>
    <t>7:35 7:46 7:54 8:02 8:14 8:23 8:31 8:40 8:46 8:47</t>
  </si>
  <si>
    <t>7:53 8:04 8:12 8:20 8:32 8:41 8:52 9:01 9:08 9:10</t>
  </si>
  <si>
    <t>8:08 8:19 8:27 8:35 8:47 8:57 9:08 9:17 9:24 9:26</t>
  </si>
  <si>
    <t>8:23 8:34 8:42 8:50 9:02 9:12 9:23 9:32 9:39 9:41</t>
  </si>
  <si>
    <t>8:38 8:49 8:57 9:05 9:17 9:27 9:38 9:47 9:54 9:56</t>
  </si>
  <si>
    <t>8:45 8:56 9:04 9:12 9:24 9:34 9:45 9:54 10:01 10:03</t>
  </si>
  <si>
    <t>9:00 9:11 9:19 9:27 9:39 9:49 10:00 10:09 10:16 10:18</t>
  </si>
  <si>
    <t>9:15 9:26 9:34 9:42 9:54 10:04 10:15 10:24 10:31 10:33</t>
  </si>
  <si>
    <t>9:22 9:33 9:41 9:49 10:01 10:11 10:22 10:31 10:38 10:40</t>
  </si>
  <si>
    <t>9:37 9:48 9:56 10:04 10:16 10:26 10:37 10:46 10:53 10:55</t>
  </si>
  <si>
    <t>9:52 10:03 10:11 10:19 10:31 10:41 10:52 11:01 11:08 11:10</t>
  </si>
  <si>
    <t>10:07 10:18 10:26 10:34 10:46 10:56 11:07 11:16 11:23 11:25</t>
  </si>
  <si>
    <t>10:22 10:33 10:41 10:49 11:01 11:11 11:22 11:31 11:38 11:40</t>
  </si>
  <si>
    <t>10:37 10:48 10:56 11:04 11:16 11:26 11:37 11:46 11:53 11:55</t>
  </si>
  <si>
    <t>10:52 11:03 11:11 11:19 11:31 11:41 11:52 12:01 12:08 12:10</t>
  </si>
  <si>
    <t>11:07 11:18 11:26 11:34 11:46 11:56 12:07 12:16 12:23 12:25</t>
  </si>
  <si>
    <t>11:22 11:33 11:41 11:49 12:01 12:11 12:22 12:31 12:38 12:40</t>
  </si>
  <si>
    <t>11:37 11:48 11:56 12:04 12:16 12:26 12:37 12:46 12:53 12:55</t>
  </si>
  <si>
    <t>11:52 12:03 12:11 12:19 12:31 12:41 12:52 1:01 1:08 1:10</t>
  </si>
  <si>
    <t>12:07 12:18 12:26 12:34 12:46 12:56 1:07 1:16 1:23 1:25</t>
  </si>
  <si>
    <t>12:22 12:33 12:41 12:49 1:01 1:11 1:22 1:31 1:38 1:40</t>
  </si>
  <si>
    <t>12:37 12:48 12:56 1:04 1:16 1:26 1:37 1:46 1:53 1:55</t>
  </si>
  <si>
    <t>12:52 1:03 1:11 1:19 1:31 1:41 1:52 2:01 2:08 2:10</t>
  </si>
  <si>
    <t>1:07 1:18 1:26 1:34 1:46 1:56 2:07 2:16 2:23 2:25</t>
  </si>
  <si>
    <t>1:22 1:33 1:41 1:49 2:01 2:11 2:22 2:31 2:38 2:40</t>
  </si>
  <si>
    <t>1:37 1:48 1:56 2:04 2:17 2:28 2:40 2:50 2:58 3:00</t>
  </si>
  <si>
    <t>1:52 2:03 2:11 2:19 2:32 2:43 2:55 3:05 3:13 3:15</t>
  </si>
  <si>
    <t>2:07 2:18 2:26 2:34 2:47 2:58 3:10 3:20 3:28 3:30</t>
  </si>
  <si>
    <t>2:22 2:33 2:41 2:49 3:02 3:13 3:25 3:35 3:43 3:45</t>
  </si>
  <si>
    <t>2:37 2:48 2:56 3:04 3:17 3:28 3:40 3:50 3:58 4:00</t>
  </si>
  <si>
    <t>2:52 3:03 3:11 3:19 3:32 3:43 3:55 4:05 4:13 4:15</t>
  </si>
  <si>
    <t>3:07 3:18 3:26 3:34 3:47 3:58 4:10 4:20 4:28 4:30</t>
  </si>
  <si>
    <t>3:22 3:33 3:41 3:49 4:02 4:13 4:25 4:35 4:43 4:45</t>
  </si>
  <si>
    <t>3:37 3:48 3:56 4:04 4:17 4:28 4:40 4:50 4:58 5:00</t>
  </si>
  <si>
    <t>3:52 4:03 4:11 4:19 4:32 4:43 4:55 5:05 5:13 5:15</t>
  </si>
  <si>
    <t>4:07 4:18 4:26 4:34 4:47 4:58 5:10 5:20 5:28 5:30</t>
  </si>
  <si>
    <t>4:22 4:33 4:41 4:49 5:02 5:13 5:25 5:35 5:43 5:45</t>
  </si>
  <si>
    <t>4:37 4:48 4:56 5:04 5:17 5:28 5:40 5:50 5:58 6:00</t>
  </si>
  <si>
    <t>4:52 5:03 5:11 5:19 5:32 5:43 5:55 6:05 6:13 6:15</t>
  </si>
  <si>
    <t>5:07 5:18 5:26 5:34 5:47 5:58 6:10 6:20 6:28 6:30</t>
  </si>
  <si>
    <t>5:22 5:33 5:41 5:49 6:02 6:13 6:25 6:35 6:43 6:45</t>
  </si>
  <si>
    <t>5:37 5:48 5:56 6:04 6:17 6:28 6:40 6:50 6:58 7:00</t>
  </si>
  <si>
    <t>5:52 6:03 6:11 6:19 6:32 6:43 6:55 7:05 7:13 7:15</t>
  </si>
  <si>
    <t>6:07 6:18 6:26 6:34 6:47 6:58 7:10 7:20 7:28 7:30</t>
  </si>
  <si>
    <t>6:22 6:33 6:41 6:49 7:02 7:13 7:25 7:35 7:43 7:45</t>
  </si>
  <si>
    <t>6:37 6:47 6:54 7:00 7:13 7:22 7:34 7:44 7:52 7:53</t>
  </si>
  <si>
    <t>6:52 7:02 7:09 7:15 7:28 7:37 7:49 7:59 8:07 8:08</t>
  </si>
  <si>
    <t>7:07 7:17 7:24 7:30 7:43 7:52 8:04 8:14 8:22 8:23</t>
  </si>
  <si>
    <t>7:22 7:32 7:39 7:45 7:58 8:07 8:19 8:29 8:37 8:38</t>
  </si>
  <si>
    <t>7:37 7:47 7:54 8:00 8:13 8:22 8:34 8:44 8:52 8:53</t>
  </si>
  <si>
    <t>7:52 8:01 8:08 8:14 8:25 8:32 8:41 8:50 8:58 8:59</t>
  </si>
  <si>
    <t>8:07 8:16 8:23 8:29 8:40 8:47 8:56 9:05 9:13 9:14</t>
  </si>
  <si>
    <t>8:22 8:31 8:38 8:44 8:55 9:02 9:11 9:20 9:28 9:29</t>
  </si>
  <si>
    <t>8:37 8:46 8:52 8:58 9:08 9:15 9:24 9:33 9:39 9:40</t>
  </si>
  <si>
    <t>8:52 9:01 9:07 9:13 9:23 9:30 9:39 9:48 9:54 9:55</t>
  </si>
  <si>
    <t>9:07 9:16 9:22 9:28 9:38 9:45 9:54 10:03 10:09 10:10</t>
  </si>
  <si>
    <t>9:26 9:35 9:41 9:47 9:57 10:04 10:13 10:22 10:28 10:29</t>
  </si>
  <si>
    <t>9:46 9:55 10:01 10:07 10:17 10:24 10:33 10:42 10:48 10:49</t>
  </si>
  <si>
    <t>10:12 10:21 10:27 10:33 10:43 10:50 10:59 11:08 11:14 11:15</t>
  </si>
  <si>
    <t>10:42 10:51 10:56 11:02 11:11 11:17 11:23 11:30 11:35 11:36</t>
  </si>
  <si>
    <t>11:08 11:17 11:22 11:28 11:37 11:43 11:49 11:56 12:01 12:02</t>
  </si>
  <si>
    <t>11:38 11:47 11:52 11:58 12:07 12:13 12:19 12:26 12:31 12:32</t>
  </si>
  <si>
    <t>12:08 12:17 12:22 12:28 12:37 12:43 12:49 12:56 1:01 1:02</t>
  </si>
  <si>
    <t>13th St. &amp;
Broadway</t>
  </si>
  <si>
    <t>5:00 5:05 5:12 5:20 5:27 5:35 5:44 5:49 5:54 6:02</t>
  </si>
  <si>
    <t>5:20 5:25 5:32 5:40 5:47 5:55 6:04 6:09 6:14 6:22</t>
  </si>
  <si>
    <t>5:40 5:45 5:54 6:03 6:11 6:19 6:28 6:33 6:38 6:47</t>
  </si>
  <si>
    <t>6:00 6:05 6:14 6:23 6:31 6:39 6:48 6:53 6:58 7:07</t>
  </si>
  <si>
    <t>6:15 6:20 6:29 6:38 6:46 6:54 7:03 7:08 7:13 7:22</t>
  </si>
  <si>
    <t>6:30 6:35 6:44 6:53 7:01 7:09 7:21 7:27 7:32 7:41</t>
  </si>
  <si>
    <t>6:45 6:50 6:59 7:08 7:16 7:24 7:36 7:42 7:47 7:56</t>
  </si>
  <si>
    <t>7:00 7:05 7:14 7:23 7:31 7:39 7:51 7:57 8:02 8:11</t>
  </si>
  <si>
    <t>7:15 7:20 7:29 7:38 7:46 7:54 8:06 8:12 8:17 8:26</t>
  </si>
  <si>
    <t>7:30 7:35 7:44 7:53 8:01 8:09 8:21 8:27 8:32 8:41</t>
  </si>
  <si>
    <t>7:45 7:51 8:01 8:12 8:22 8:32 8:45 8:52 9:00 9:09</t>
  </si>
  <si>
    <t>8:00 8:06 8:16 8:27 8:37 8:47 9:00 9:07 9:15 9:24</t>
  </si>
  <si>
    <t>8:15 8:21 8:31 8:42 8:52 9:02 9:15 9:22 9:30 9:39</t>
  </si>
  <si>
    <t>8:30 8:36 8:46 8:57 9:07 9:17 9:30 9:37 9:45 9:54</t>
  </si>
  <si>
    <t>8:45 8:51 9:01 9:12 9:22 9:32 9:45 9:52 10:00 10:09</t>
  </si>
  <si>
    <t>9:00 9:06 9:16 9:27 9:37 9:47 10:00 10:07 10:15 10:24</t>
  </si>
  <si>
    <t>9:15 9:21 9:31 9:42 9:52 10:02 10:15 10:22 10:30 10:39</t>
  </si>
  <si>
    <t>9:30 9:36 9:46 9:57 10:07 10:17 10:30 10:37 10:45 10:54</t>
  </si>
  <si>
    <t>9:45 9:51 10:01 10:12 10:22 10:32 10:45 10:52 11:00 11:09</t>
  </si>
  <si>
    <t>10:00 10:06 10:16 10:27 10:37 10:47 11:00 11:07 11:15 11:24</t>
  </si>
  <si>
    <t>10:15 10:21 10:31 10:42 10:52 11:02 11:15 11:22 11:30 11:39</t>
  </si>
  <si>
    <t>10:30 10:36 10:46 10:57 11:07 11:17 11:30 11:37 11:45 11:54</t>
  </si>
  <si>
    <t>10:45 10:51 11:01 11:12 11:22 11:32 11:45 11:52 12:00 12:09</t>
  </si>
  <si>
    <t>11:00 11:06 11:16 11:27 11:37 11:47 12:00 12:07 12:15 12:24</t>
  </si>
  <si>
    <t>11:15 11:21 11:31 11:42 11:52 12:02 12:15 12:22 12:30 12:39</t>
  </si>
  <si>
    <t>11:30 11:36 11:46 11:57 12:07 12:17 12:30 12:37 12:45 12:54</t>
  </si>
  <si>
    <t>11:45 11:51 12:01 12:12 12:22 12:32 12:45 12:52 1:00 1:09</t>
  </si>
  <si>
    <t>12:00 12:06 12:16 12:27 12:37 12:47 1:00 1:07 1:15 1:24</t>
  </si>
  <si>
    <t>12:15 12:21 12:31 12:42 12:52 1:02 1:15 1:22 1:30 1:39</t>
  </si>
  <si>
    <t>12:30 12:36 12:46 12:57 1:07 1:17 1:30 1:37 1:45 1:54</t>
  </si>
  <si>
    <t>12:45 12:51 1:01 1:12 1:22 1:32 1:45 1:52 2:00 2:09</t>
  </si>
  <si>
    <t>1:00 1:06 1:16 1:27 1:37 1:47 2:00 2:07 2:15 2:24</t>
  </si>
  <si>
    <t>1:15 1:21 1:31 1:42 1:52 2:02 2:15 2:22 2:30 2:39</t>
  </si>
  <si>
    <t>1:30 1:36 1:46 1:57 2:07 2:17 2:30 2:37 2:45 2:54</t>
  </si>
  <si>
    <t>1:45 1:51 2:01 2:12 2:22 2:32 2:45 2:52 3:00 3:09</t>
  </si>
  <si>
    <t>2:00 2:06 2:16 2:27 2:37 2:47 3:00 3:07 3:15 3:24</t>
  </si>
  <si>
    <t>2:15 2:21 2:31 2:42 2:52 3:02 3:15 3:22 3:30 3:39</t>
  </si>
  <si>
    <t>2:30 2:36 2:46 2:57 3:07 3:17 3:30 3:37 3:45 3:54</t>
  </si>
  <si>
    <t>2:45 2:51 3:01 3:12 3:22 3:32 3:45 3:52 4:00 4:09</t>
  </si>
  <si>
    <t>3:00 3:06 3:16 3:27 3:37 3:47 4:00 4:07 4:15 4:24</t>
  </si>
  <si>
    <t>3:15 3:21 3:31 3:42 3:52 4:02 4:15 4:22 4:30 4:39</t>
  </si>
  <si>
    <t>3:30 3:36 3:46 3:57 4:07 4:17 4:30 4:37 4:45 4:54</t>
  </si>
  <si>
    <t>3:45 3:51 4:01 4:12 4:22 4:32 4:45 4:52 5:00 5:09</t>
  </si>
  <si>
    <t>4:00 4:06 4:16 4:27 4:37 4:47 5:00 5:07 5:15 5:24</t>
  </si>
  <si>
    <t>4:15 4:21 4:31 4:42 4:52 5:02 5:15 5:22 5:30 5:39</t>
  </si>
  <si>
    <t>4:30 4:36 4:46 4:57 5:07 5:17 5:30 5:37 5:45 5:54</t>
  </si>
  <si>
    <t>4:45 4:51 5:01 5:12 5:22 5:32 5:45 5:52 6:00 6:09</t>
  </si>
  <si>
    <t>5:00 5:06 5:16 5:27 5:37 5:47 6:00 6:07 6:15 6:24</t>
  </si>
  <si>
    <t>5:15 5:21 5:31 5:42 5:52 6:02 6:15 6:22 6:30 6:39</t>
  </si>
  <si>
    <t>5:30 5:36 5:46 5:57 6:07 6:17 6:30 6:37 6:45 6:54</t>
  </si>
  <si>
    <t>5:45 5:51 6:01 6:12 6:22 6:32 6:45 6:52 7:00 7:09</t>
  </si>
  <si>
    <t>6:00 6:06 6:16 6:27 6:37 6:47 7:00 7:07 7:15 7:24</t>
  </si>
  <si>
    <t>6:15 6:21 6:31 6:42 6:52 7:02 7:15 7:22 7:30 7:39</t>
  </si>
  <si>
    <t>6:30 6:36 6:46 6:57 7:07 7:17 7:30 7:37 7:45 7:54</t>
  </si>
  <si>
    <t>6:45 6:51 7:01 7:12 7:22 7:32 7:45 7:52 8:00 8:09</t>
  </si>
  <si>
    <t>7:00 7:06 7:16 7:27 7:37 7:47 8:00 8:07 8:15 8:24</t>
  </si>
  <si>
    <t>7:15 7:21 7:31 7:42 7:52 8:02 8:15 8:22 8:30 8:39</t>
  </si>
  <si>
    <t>7:30 7:36 7:46 7:57 8:07 8:17 8:30 8:37 8:45 8:54</t>
  </si>
  <si>
    <t>8:00 8:06 8:15 8:25 8:33 8:42 8:54 9:01 9:09 9:18</t>
  </si>
  <si>
    <t>8:15 8:21 8:30 8:40 8:48 8:57 9:09 9:16 9:24 9:33</t>
  </si>
  <si>
    <t>8:30 8:36 8:45 8:55 9:03 9:12 9:24 9:31 9:39 9:48</t>
  </si>
  <si>
    <t>8:45 8:51 9:00 9:10 9:18 9:27 9:39 9:46 9:54 10:03</t>
  </si>
  <si>
    <t>9:05 9:11 9:20 9:30 9:38 9:47 9:59 10:06 10:14 10:23</t>
  </si>
  <si>
    <t>9:25 9:31 9:40 9:50 9:58 10:07 10:19 10:26 10:34 10:43</t>
  </si>
  <si>
    <t>9:45 9:51 10:00 10:10 10:18 10:27 10:39 10:46 10:54 11:03</t>
  </si>
  <si>
    <t>10:05 10:10 10:18 10:28 10:35 10:43 10:54 11:00 11:06 11:15</t>
  </si>
  <si>
    <t>10:35 10:40 10:48 10:58 11:05 11:13 11:24 11:30 11:36 11:45</t>
  </si>
  <si>
    <t>11:05 11:10 11:18 11:28 11:35 11:43 11:54 12:00 12:05 12:14</t>
  </si>
  <si>
    <t>11:35 11:40 11:48 11:58 12:05 12:13 12:24 12:30 12:35 12:44</t>
  </si>
  <si>
    <t>12:05 12:10 12:18 12:28 12:35 12:43 12:54 1:00 1:05 1:14</t>
  </si>
  <si>
    <t>5:50 5:57 6:02 6:07 6:15 6:21 6:28 6:35 6:41 6:42</t>
  </si>
  <si>
    <t>6:10 6:17 6:22 6:27 6:35 6:41 6:48 6:55 7:01 7:02</t>
  </si>
  <si>
    <t>6:30 6:37 6:42 6:47 6:55 7:01 7:08 7:15 7:21 7:22</t>
  </si>
  <si>
    <t>6:50 6:57 7:02 7:07 7:15 7:21 7:28 7:35 7:41 7:42</t>
  </si>
  <si>
    <t>7:10 7:17 7:22 7:27 7:35 7:41 7:48 7:55 8:01 8:02</t>
  </si>
  <si>
    <t>7:30 7:37 7:42 7:47 7:55 8:01 8:08 8:15 8:21 8:22</t>
  </si>
  <si>
    <t>7:50 7:57 8:02 8:07 8:15 8:21 8:28 8:35 8:41 8:42</t>
  </si>
  <si>
    <t>8:10 8:19 8:25 8:30 8:38 8:45 8:53 9:01 9:07 9:08</t>
  </si>
  <si>
    <t>8:30 8:39 8:45 8:50 8:58 9:05 9:13 9:21 9:27 9:28</t>
  </si>
  <si>
    <t>8:50 8:59 9:05 9:10 9:18 9:25 9:33 9:41 9:47 9:48</t>
  </si>
  <si>
    <t>9:10 9:20 9:26 9:32 9:42 9:50 9:59 10:08 10:15 10:17</t>
  </si>
  <si>
    <t>9:30 9:40 9:46 9:52 10:02 10:10 10:19 10:28 10:35 10:37</t>
  </si>
  <si>
    <t>9:50 10:00 10:06 10:12 10:22 10:30 10:39 10:48 10:55 10:57</t>
  </si>
  <si>
    <t>10:10 10:20 10:26 10:32 10:42 10:50 10:59 11:08 11:15 11:17</t>
  </si>
  <si>
    <t>10:30 10:40 10:46 10:52 11:02 11:10 11:19 11:28 11:35 11:37</t>
  </si>
  <si>
    <t>10:50 11:00 11:06 11:12 11:22 11:30 11:39 11:48 11:55 11:57</t>
  </si>
  <si>
    <t>11:10 11:21 11:28 11:34 11:45 11:54 12:05 12:15 12:23 12:25</t>
  </si>
  <si>
    <t>11:30 11:41 11:48 11:54 12:05 12:14 12:25 12:35 12:43 12:45</t>
  </si>
  <si>
    <t>11:50 12:01 12:08 12:14 12:25 12:34 12:45 12:55 1:03 1:05</t>
  </si>
  <si>
    <t>12:10 12:21 12:28 12:34 12:45 12:54 1:05 1:15 1:23 1:25</t>
  </si>
  <si>
    <t>12:30 12:41 12:48 12:54 1:05 1:14 1:25 1:35 1:43 1:45</t>
  </si>
  <si>
    <t>12:50 1:01 1:08 1:14 1:25 1:34 1:45 1:55 2:03 2:05</t>
  </si>
  <si>
    <t>1:10 1:21 1:28 1:34 1:45 1:54 2:05 2:15 2:23 2:25</t>
  </si>
  <si>
    <t>1:30 1:41 1:48 1:54 2:05 2:14 2:25 2:35 2:43 2:45</t>
  </si>
  <si>
    <t>1:50 2:01 2:08 2:14 2:25 2:34 2:45 2:55 3:03 3:05</t>
  </si>
  <si>
    <t>2:10 2:21 2:28 2:34 2:45 2:54 3:05 3:15 3:23 3:25</t>
  </si>
  <si>
    <t>2:30 2:41 2:48 2:54 3:05 3:14 3:25 3:35 3:43 3:45</t>
  </si>
  <si>
    <t>2:50 3:01 3:08 3:14 3:25 3:34 3:45 3:55 4:03 4:05</t>
  </si>
  <si>
    <t>3:10 3:21 3:28 3:34 3:45 3:54 4:05 4:15 4:23 4:25</t>
  </si>
  <si>
    <t>3:30 3:41 3:48 3:54 4:05 4:14 4:25 4:35 4:43 4:45</t>
  </si>
  <si>
    <t>3:50 4:01 4:08 4:14 4:25 4:34 4:45 4:55 5:03 5:05</t>
  </si>
  <si>
    <t>4:10 4:21 4:28 4:34 4:45 4:54 5:05 5:15 5:23 5:25</t>
  </si>
  <si>
    <t>4:30 4:41 4:48 4:54 5:05 5:14 5:25 5:35 5:43 5:45</t>
  </si>
  <si>
    <t>4:50 4:57 5:03 5:08 5:17 5:24 5:33 5:41 5:49 5:51</t>
  </si>
  <si>
    <t>5:10 5:17 5:23 5:28 5:37 5:44 5:53 6:01 6:09 6:11</t>
  </si>
  <si>
    <t>5:30 5:37 5:43 5:48 5:57 6:04 6:13 6:21 6:29 6:31</t>
  </si>
  <si>
    <t>5:50 5:57 6:03 6:08 6:17 6:24 6:33 6:41 6:49 6:51</t>
  </si>
  <si>
    <t>6:10 6:17 6:23 6:28 6:37 6:44 6:53 7:01 7:09 7:11</t>
  </si>
  <si>
    <t>6:30 6:37 6:43 6:48 6:57 7:04 7:13 7:21 7:29 7:31</t>
  </si>
  <si>
    <t>6:50 6:57 7:03 7:08 7:17 7:24 7:33 7:41 7:49 7:51</t>
  </si>
  <si>
    <t>7:10 7:17 7:23 7:28 7:37 7:44 7:53 8:01 8:09 8:11</t>
  </si>
  <si>
    <t>7:30 7:37 7:43 7:48 7:57 8:04 8:13 8:21 8:29 8:31</t>
  </si>
  <si>
    <t>7:50 7:57 8:03 8:08 8:17 8:24 8:33 8:41 8:49 8:51</t>
  </si>
  <si>
    <t>8:10 8:17 8:22 8:27 8:36 8:42 8:50 8:57 9:04 9:05</t>
  </si>
  <si>
    <t>8:30 8:37 8:42 8:47 8:56 9:02 9:10 9:17 9:24 9:25</t>
  </si>
  <si>
    <t>8:50 8:57 9:02 9:07 9:16 9:22 9:30 9:37 9:44 9:45</t>
  </si>
  <si>
    <t>9:10 9:17 9:22 9:27 9:36 9:42 9:50 9:57 10:04 10:05</t>
  </si>
  <si>
    <t>9:30 9:37 9:42 9:47 9:56 10:02 10:10 10:17 10:24 10:25</t>
  </si>
  <si>
    <t>9:50 9:57 10:02 10:07 10:16 10:22 10:30 10:37 10:44 10:45</t>
  </si>
  <si>
    <t>10:10 10:17 10:22 10:27 10:35 10:41 10:48 10:55 11:01 11:02</t>
  </si>
  <si>
    <t>10:40 10:47 10:52 10:57 11:05 11:11 11:18 11:25 11:31 11:32</t>
  </si>
  <si>
    <t>11:10 11:17 11:22 11:27 11:35 11:41 11:48 11:55 12:01 12:02</t>
  </si>
  <si>
    <t>11:40 11:47 11:52 11:57 12:05 12:11 12:18 12:25 12:31 12:32</t>
  </si>
  <si>
    <t>12:10 12:17 12:22 12:27 12:35 12:41 12:48 12:55 1:01 1:02</t>
  </si>
  <si>
    <t>6:00 6:05 6:09 6:16 6:23 6:29 6:38 6:43 6:49 6:56</t>
  </si>
  <si>
    <t>6:20 6:25 6:29 6:36 6:43 6:49 6:58 7:03 7:09 7:16</t>
  </si>
  <si>
    <t>6:40 6:45 6:49 6:56 7:03 7:09 7:18 7:23 7:29 7:36</t>
  </si>
  <si>
    <t>7:00 7:05 7:09 7:16 7:23 7:29 7:38 7:43 7:49 7:56</t>
  </si>
  <si>
    <t>7:20 7:25 7:29 7:36 7:43 7:49 7:58 8:03 8:09 8:16</t>
  </si>
  <si>
    <t>7:40 7:45 7:49 7:56 8:03 8:09 8:18 8:23 8:29 8:36</t>
  </si>
  <si>
    <t>8:00 8:05 8:09 8:16 8:23 8:29 8:38 8:43 8:49 8:56</t>
  </si>
  <si>
    <t>8:20 8:25 8:29 8:36 8:43 8:49 8:58 9:03 9:09 9:16</t>
  </si>
  <si>
    <t>8:40 8:45 8:51 8:58 9:06 9:12 9:22 9:27 9:33 9:40</t>
  </si>
  <si>
    <t>9:00 9:05 9:11 9:18 9:26 9:32 9:42 9:47 9:53 10:00</t>
  </si>
  <si>
    <t>9:20 9:25 9:31 9:38 9:46 9:52 10:02 10:07 10:13 10:20</t>
  </si>
  <si>
    <t>9:40 9:46 9:52 10:01 10:10 10:17 10:27 10:32 10:38 10:45</t>
  </si>
  <si>
    <t>10:00 10:06 10:13 10:22 10:32 10:40 10:51 10:57 11:04 11:12</t>
  </si>
  <si>
    <t>10:20 10:26 10:33 10:42 10:52 11:00 11:11 11:17 11:24 11:32</t>
  </si>
  <si>
    <t>10:40 10:46 10:53 11:02 11:12 11:20 11:31 11:37 11:44 11:52</t>
  </si>
  <si>
    <t>11:00 11:06 11:13 11:22 11:32 11:40 11:51 11:57 12:04 12:12</t>
  </si>
  <si>
    <t>11:20 11:26 11:34 11:45 11:56 12:05 12:17 12:24 12:30 12:38</t>
  </si>
  <si>
    <t>11:40 11:46 11:54 12:05 12:16 12:25 12:37 12:44 12:50 12:58</t>
  </si>
  <si>
    <t>12:00 12:06 12:14 12:25 12:36 12:45 12:57 1:04 1:10 1:18</t>
  </si>
  <si>
    <t>12:20 12:26 12:34 12:45 12:56 1:05 1:17 1:24 1:30 1:38</t>
  </si>
  <si>
    <t>12:40 12:46 12:54 1:05 1:16 1:25 1:37 1:44 1:50 1:58</t>
  </si>
  <si>
    <t>1:00 1:06 1:14 1:25 1:36 1:45 1:57 2:04 2:10 2:18</t>
  </si>
  <si>
    <t>1:20 1:26 1:34 1:45 1:56 2:05 2:17 2:24 2:30 2:38</t>
  </si>
  <si>
    <t>1:40 1:46 1:54 2:05 2:16 2:25 2:37 2:44 2:50 2:58</t>
  </si>
  <si>
    <t>2:00 2:06 2:14 2:25 2:36 2:45 2:57 3:04 3:10 3:18</t>
  </si>
  <si>
    <t>2:20 2:26 2:34 2:45 2:56 3:05 3:17 3:24 3:30 3:38</t>
  </si>
  <si>
    <t>2:40 2:46 2:54 3:05 3:16 3:25 3:37 3:44 3:50 3:58</t>
  </si>
  <si>
    <t>3:00 3:06 3:14 3:25 3:36 3:45 3:57 4:04 4:10 4:18</t>
  </si>
  <si>
    <t>3:20 3:26 3:34 3:45 3:56 4:05 4:17 4:24 4:30 4:38</t>
  </si>
  <si>
    <t>3:40 3:46 3:54 4:05 4:16 4:25 4:37 4:44 4:50 4:58</t>
  </si>
  <si>
    <t>4:00 4:06 4:14 4:25 4:36 4:45 4:57 5:04 5:10 5:18</t>
  </si>
  <si>
    <t>4:20 4:26 4:34 4:45 4:56 5:05 5:17 5:24 5:30 5:38</t>
  </si>
  <si>
    <t>4:40 4:46 4:54 5:05 5:16 5:25 5:37 5:44 5:50 5:58</t>
  </si>
  <si>
    <t>5:00 5:06 5:14 5:25 5:36 5:45 5:57 6:04 6:10 6:18</t>
  </si>
  <si>
    <t>5:20 5:26 5:34 5:45 5:56 6:05 6:17 6:24 6:30 6:38</t>
  </si>
  <si>
    <t>5:40 5:46 5:54 6:05 6:16 6:25 6:37 6:44 6:50 6:58</t>
  </si>
  <si>
    <t>6:00 6:06 6:14 6:25 6:36 6:45 6:57 7:04 7:10 7:18</t>
  </si>
  <si>
    <t>6:20 6:25 6:33 6:44 6:53 7:01 7:13 7:20 7:26 7:34</t>
  </si>
  <si>
    <t>6:40 6:45 6:53 7:04 7:13 7:21 7:33 7:40 7:46 7:54</t>
  </si>
  <si>
    <t>7:00 7:05 7:13 7:24 7:33 7:41 7:53 8:00 8:06 8:14</t>
  </si>
  <si>
    <t>7:20 7:25 7:33 7:44 7:53 8:01 8:13 8:20 8:26 8:34</t>
  </si>
  <si>
    <t>7:40 7:45 7:53 8:03 8:12 8:20 8:32 8:39 8:45 8:53</t>
  </si>
  <si>
    <t>8:00 8:05 8:09 8:17 8:24 8:31 8:40 8:45 8:51 8:58</t>
  </si>
  <si>
    <t>8:20 8:25 8:29 8:37 8:44 8:51 9:00 9:05 9:11 9:18</t>
  </si>
  <si>
    <t>8:40 8:45 8:49 8:57 9:04 9:11 9:20 9:25 9:31 9:38</t>
  </si>
  <si>
    <t>9:00 9:05 9:09 9:17 9:24 9:31 9:40 9:45 9:51 9:58</t>
  </si>
  <si>
    <t>9:20 9:25 9:29 9:37 9:44 9:51 10:00 10:05 10:11 10:18</t>
  </si>
  <si>
    <t>9:40 9:45 9:49 9:57 10:04 10:11 10:20 10:25 10:31 10:38</t>
  </si>
  <si>
    <t>10:00 10:05 10:09 10:17 10:24 10:31 10:40 10:45 10:51 10:58</t>
  </si>
  <si>
    <t>10:30 10:35 10:39 10:47 10:52 10:58 11:07 11:12 11:18 11:24</t>
  </si>
  <si>
    <t>11:00 11:05 11:09 11:17 11:22 11:28 11:37 11:42 11:48 11:54</t>
  </si>
  <si>
    <t>11:30 11:35 11:39 11:47 11:52 11:58 12:07 12:12 12:18 12:24</t>
  </si>
  <si>
    <t>12:00 12:05 12:09 12:17 12:22 12:28 12:37 12:42 12:48 12:54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</si>
</sst>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[$-F400]h:mm:ss\ AM/PM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9" fontId="2" fillId="0" borderId="0" xfId="0" applyNumberFormat="1" applyFont="1"/>
    <xf numFmtId="46" fontId="2" fillId="0" borderId="0" xfId="0" applyNumberFormat="1" applyFont="1"/>
    <xf numFmtId="43" fontId="0" fillId="0" borderId="0" xfId="1" applyFont="1"/>
    <xf numFmtId="43" fontId="4" fillId="0" borderId="0" xfId="1" applyFont="1"/>
    <xf numFmtId="167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271816387915E-2"/>
          <c:y val="7.1409749670619235E-2"/>
          <c:w val="0.87709217004808704"/>
          <c:h val="0.846956521739130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'18_MF_NB'!$M$2:$M$75</c:f>
              <c:numCache>
                <c:formatCode>h:mm:ss\ AM/PM</c:formatCode>
                <c:ptCount val="74"/>
                <c:pt idx="0">
                  <c:v>0.2013888888888889</c:v>
                </c:pt>
                <c:pt idx="1">
                  <c:v>0.21527777777777779</c:v>
                </c:pt>
                <c:pt idx="2">
                  <c:v>0.22916666666666666</c:v>
                </c:pt>
                <c:pt idx="3">
                  <c:v>0.24305555555555555</c:v>
                </c:pt>
                <c:pt idx="4">
                  <c:v>0.25347222222222221</c:v>
                </c:pt>
                <c:pt idx="5">
                  <c:v>0.2638888888888889</c:v>
                </c:pt>
                <c:pt idx="6">
                  <c:v>0.27430555555555558</c:v>
                </c:pt>
                <c:pt idx="7">
                  <c:v>0.28472222222222221</c:v>
                </c:pt>
                <c:pt idx="8">
                  <c:v>0.2951388888888889</c:v>
                </c:pt>
                <c:pt idx="9">
                  <c:v>0.30555555555555558</c:v>
                </c:pt>
                <c:pt idx="10">
                  <c:v>0.31597222222222221</c:v>
                </c:pt>
                <c:pt idx="11">
                  <c:v>0.32847222222222222</c:v>
                </c:pt>
                <c:pt idx="12">
                  <c:v>0.33888888888888891</c:v>
                </c:pt>
                <c:pt idx="13">
                  <c:v>0.34930555555555554</c:v>
                </c:pt>
                <c:pt idx="14">
                  <c:v>0.35972222222222222</c:v>
                </c:pt>
                <c:pt idx="15">
                  <c:v>0.36458333333333331</c:v>
                </c:pt>
                <c:pt idx="16">
                  <c:v>0.375</c:v>
                </c:pt>
                <c:pt idx="17">
                  <c:v>0.38541666666666669</c:v>
                </c:pt>
                <c:pt idx="18">
                  <c:v>0.39027777777777778</c:v>
                </c:pt>
                <c:pt idx="19">
                  <c:v>0.40069444444444446</c:v>
                </c:pt>
                <c:pt idx="20">
                  <c:v>0.41111111111111109</c:v>
                </c:pt>
                <c:pt idx="21">
                  <c:v>0.42152777777777778</c:v>
                </c:pt>
                <c:pt idx="22">
                  <c:v>0.43194444444444446</c:v>
                </c:pt>
                <c:pt idx="23">
                  <c:v>0.44236111111111109</c:v>
                </c:pt>
                <c:pt idx="24">
                  <c:v>0.45277777777777778</c:v>
                </c:pt>
                <c:pt idx="25">
                  <c:v>0.46319444444444446</c:v>
                </c:pt>
                <c:pt idx="26">
                  <c:v>0.47361111111111109</c:v>
                </c:pt>
                <c:pt idx="27">
                  <c:v>0.48402777777777778</c:v>
                </c:pt>
                <c:pt idx="28">
                  <c:v>0.49444444444444446</c:v>
                </c:pt>
                <c:pt idx="29">
                  <c:v>0.50486111111111109</c:v>
                </c:pt>
                <c:pt idx="30">
                  <c:v>0.51527777777777772</c:v>
                </c:pt>
                <c:pt idx="31">
                  <c:v>0.52569444444444446</c:v>
                </c:pt>
                <c:pt idx="32">
                  <c:v>0.53611111111111098</c:v>
                </c:pt>
                <c:pt idx="33">
                  <c:v>0.54652777777777772</c:v>
                </c:pt>
                <c:pt idx="34">
                  <c:v>0.55694444444444435</c:v>
                </c:pt>
                <c:pt idx="35">
                  <c:v>0.56736111111111109</c:v>
                </c:pt>
                <c:pt idx="36">
                  <c:v>0.57777777777777772</c:v>
                </c:pt>
                <c:pt idx="37">
                  <c:v>0.58819444444444435</c:v>
                </c:pt>
                <c:pt idx="38">
                  <c:v>0.59861111111111109</c:v>
                </c:pt>
                <c:pt idx="39">
                  <c:v>0.60902777777777706</c:v>
                </c:pt>
                <c:pt idx="40">
                  <c:v>0.61944444444444402</c:v>
                </c:pt>
                <c:pt idx="41">
                  <c:v>0.62986111111111098</c:v>
                </c:pt>
                <c:pt idx="42">
                  <c:v>0.64027777777777706</c:v>
                </c:pt>
                <c:pt idx="43">
                  <c:v>0.65069444444444402</c:v>
                </c:pt>
                <c:pt idx="44">
                  <c:v>0.66111111111111098</c:v>
                </c:pt>
                <c:pt idx="45">
                  <c:v>0.67152777777777706</c:v>
                </c:pt>
                <c:pt idx="46">
                  <c:v>0.68194444444444402</c:v>
                </c:pt>
                <c:pt idx="47">
                  <c:v>0.69236111111111098</c:v>
                </c:pt>
                <c:pt idx="48">
                  <c:v>0.70277777777777706</c:v>
                </c:pt>
                <c:pt idx="49">
                  <c:v>0.71319444444444402</c:v>
                </c:pt>
                <c:pt idx="50">
                  <c:v>0.72361111111111098</c:v>
                </c:pt>
                <c:pt idx="51">
                  <c:v>0.73402777777777706</c:v>
                </c:pt>
                <c:pt idx="52">
                  <c:v>0.74444444444444402</c:v>
                </c:pt>
                <c:pt idx="53">
                  <c:v>0.75486111111111098</c:v>
                </c:pt>
                <c:pt idx="54">
                  <c:v>0.76527777777777706</c:v>
                </c:pt>
                <c:pt idx="55">
                  <c:v>0.77569444444444402</c:v>
                </c:pt>
                <c:pt idx="56">
                  <c:v>0.78611111111111098</c:v>
                </c:pt>
                <c:pt idx="57">
                  <c:v>0.79652777777777706</c:v>
                </c:pt>
                <c:pt idx="58">
                  <c:v>0.80694444444444402</c:v>
                </c:pt>
                <c:pt idx="59">
                  <c:v>0.81736111111111098</c:v>
                </c:pt>
                <c:pt idx="60">
                  <c:v>0.82777777777777706</c:v>
                </c:pt>
                <c:pt idx="61">
                  <c:v>0.83819444444444402</c:v>
                </c:pt>
                <c:pt idx="62">
                  <c:v>0.84861111111111098</c:v>
                </c:pt>
                <c:pt idx="63">
                  <c:v>0.85902777777777706</c:v>
                </c:pt>
                <c:pt idx="64">
                  <c:v>0.86944444444444402</c:v>
                </c:pt>
                <c:pt idx="65">
                  <c:v>0.87986111111111098</c:v>
                </c:pt>
                <c:pt idx="66">
                  <c:v>0.89305555555555505</c:v>
                </c:pt>
                <c:pt idx="67">
                  <c:v>0.906944444444444</c:v>
                </c:pt>
                <c:pt idx="68">
                  <c:v>0.92500000000000004</c:v>
                </c:pt>
                <c:pt idx="69">
                  <c:v>0.94583333333333308</c:v>
                </c:pt>
                <c:pt idx="70">
                  <c:v>0.96388888888888802</c:v>
                </c:pt>
                <c:pt idx="71">
                  <c:v>0.98472222222222205</c:v>
                </c:pt>
                <c:pt idx="72">
                  <c:v>1.0055555555555551</c:v>
                </c:pt>
              </c:numCache>
            </c:numRef>
          </c:xVal>
          <c:yVal>
            <c:numRef>
              <c:f>'18_MF_NB'!$X$1:$X$75</c:f>
              <c:numCache>
                <c:formatCode>_(* #,##0.00_);_(* \(#,##0.00\);_(* "-"??_);_(@_)</c:formatCode>
                <c:ptCount val="7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7-9D43-BC4B-46A53F8CB9D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'18_MF_NB'!$V$2:$V$74</c:f>
              <c:numCache>
                <c:formatCode>h:mm:ss\ AM/PM</c:formatCode>
                <c:ptCount val="73"/>
                <c:pt idx="0">
                  <c:v>0.24305555555555555</c:v>
                </c:pt>
                <c:pt idx="1">
                  <c:v>0.25694444444444442</c:v>
                </c:pt>
                <c:pt idx="2">
                  <c:v>0.27083333333333331</c:v>
                </c:pt>
                <c:pt idx="3">
                  <c:v>0.28472222222222221</c:v>
                </c:pt>
                <c:pt idx="4">
                  <c:v>0.2951388888888889</c:v>
                </c:pt>
                <c:pt idx="5">
                  <c:v>0.30555555555555558</c:v>
                </c:pt>
                <c:pt idx="6">
                  <c:v>0.31597222222222221</c:v>
                </c:pt>
                <c:pt idx="7">
                  <c:v>0.3263888888888889</c:v>
                </c:pt>
                <c:pt idx="8">
                  <c:v>0.34513888888888888</c:v>
                </c:pt>
                <c:pt idx="9">
                  <c:v>0.35555555555555557</c:v>
                </c:pt>
                <c:pt idx="10">
                  <c:v>0.3659722222222222</c:v>
                </c:pt>
                <c:pt idx="11">
                  <c:v>0.38194444444444442</c:v>
                </c:pt>
                <c:pt idx="12">
                  <c:v>0.39305555555555555</c:v>
                </c:pt>
                <c:pt idx="13">
                  <c:v>0.40347222222222223</c:v>
                </c:pt>
                <c:pt idx="14">
                  <c:v>0.41388888888888886</c:v>
                </c:pt>
                <c:pt idx="15">
                  <c:v>0.41875000000000001</c:v>
                </c:pt>
                <c:pt idx="16">
                  <c:v>0.42916666666666664</c:v>
                </c:pt>
                <c:pt idx="17">
                  <c:v>0.43958333333333333</c:v>
                </c:pt>
                <c:pt idx="18">
                  <c:v>0.44444444444444442</c:v>
                </c:pt>
                <c:pt idx="19">
                  <c:v>0.4548611111111111</c:v>
                </c:pt>
                <c:pt idx="20">
                  <c:v>0.46527777777777779</c:v>
                </c:pt>
                <c:pt idx="21">
                  <c:v>0.47569444444444442</c:v>
                </c:pt>
                <c:pt idx="22">
                  <c:v>0.4861111111111111</c:v>
                </c:pt>
                <c:pt idx="23">
                  <c:v>0.49652777777777779</c:v>
                </c:pt>
                <c:pt idx="24">
                  <c:v>0.50694444444444442</c:v>
                </c:pt>
                <c:pt idx="25">
                  <c:v>0.51736111111111116</c:v>
                </c:pt>
                <c:pt idx="26">
                  <c:v>0.52777777777777779</c:v>
                </c:pt>
                <c:pt idx="27">
                  <c:v>0.53819444444444442</c:v>
                </c:pt>
                <c:pt idx="28">
                  <c:v>0.54861111111111105</c:v>
                </c:pt>
                <c:pt idx="29">
                  <c:v>0.55902777777777768</c:v>
                </c:pt>
                <c:pt idx="30">
                  <c:v>0.56944444444444442</c:v>
                </c:pt>
                <c:pt idx="31">
                  <c:v>0.57986111111111116</c:v>
                </c:pt>
                <c:pt idx="32">
                  <c:v>0.59027777777777768</c:v>
                </c:pt>
                <c:pt idx="33">
                  <c:v>0.60069444444444398</c:v>
                </c:pt>
                <c:pt idx="34">
                  <c:v>0.61111111111111094</c:v>
                </c:pt>
                <c:pt idx="35">
                  <c:v>0.625</c:v>
                </c:pt>
                <c:pt idx="36">
                  <c:v>0.63541666666666596</c:v>
                </c:pt>
                <c:pt idx="37">
                  <c:v>0.64583333333333304</c:v>
                </c:pt>
                <c:pt idx="38">
                  <c:v>0.65625</c:v>
                </c:pt>
                <c:pt idx="39">
                  <c:v>0.66666666666666596</c:v>
                </c:pt>
                <c:pt idx="40">
                  <c:v>0.67708333333333304</c:v>
                </c:pt>
                <c:pt idx="41">
                  <c:v>0.6875</c:v>
                </c:pt>
                <c:pt idx="42">
                  <c:v>0.69791666666666596</c:v>
                </c:pt>
                <c:pt idx="43">
                  <c:v>0.70833333333333304</c:v>
                </c:pt>
                <c:pt idx="44">
                  <c:v>0.71875</c:v>
                </c:pt>
                <c:pt idx="45">
                  <c:v>0.72916666666666596</c:v>
                </c:pt>
                <c:pt idx="46">
                  <c:v>0.73958333333333304</c:v>
                </c:pt>
                <c:pt idx="47">
                  <c:v>0.75</c:v>
                </c:pt>
                <c:pt idx="48">
                  <c:v>0.76041666666666607</c:v>
                </c:pt>
                <c:pt idx="49">
                  <c:v>0.77083333333333304</c:v>
                </c:pt>
                <c:pt idx="50">
                  <c:v>0.78125</c:v>
                </c:pt>
                <c:pt idx="51">
                  <c:v>0.79166666666666607</c:v>
                </c:pt>
                <c:pt idx="52">
                  <c:v>0.80208333333333304</c:v>
                </c:pt>
                <c:pt idx="53">
                  <c:v>0.8125</c:v>
                </c:pt>
                <c:pt idx="54">
                  <c:v>0.82291666666666607</c:v>
                </c:pt>
                <c:pt idx="55">
                  <c:v>0.82847222222222205</c:v>
                </c:pt>
                <c:pt idx="56">
                  <c:v>0.83888888888888802</c:v>
                </c:pt>
                <c:pt idx="57">
                  <c:v>0.84930555555555498</c:v>
                </c:pt>
                <c:pt idx="58">
                  <c:v>0.85972222222222205</c:v>
                </c:pt>
                <c:pt idx="59">
                  <c:v>0.87013888888888802</c:v>
                </c:pt>
                <c:pt idx="60">
                  <c:v>0.874305555555555</c:v>
                </c:pt>
                <c:pt idx="61">
                  <c:v>0.88472222222222197</c:v>
                </c:pt>
                <c:pt idx="62">
                  <c:v>0.89513888888888804</c:v>
                </c:pt>
                <c:pt idx="63">
                  <c:v>0.90277777777777701</c:v>
                </c:pt>
                <c:pt idx="64">
                  <c:v>0.91319444444444398</c:v>
                </c:pt>
                <c:pt idx="65">
                  <c:v>0.92361111111111094</c:v>
                </c:pt>
                <c:pt idx="66">
                  <c:v>0.936805555555555</c:v>
                </c:pt>
                <c:pt idx="67" formatCode="[$-F400]h:mm:ss\ AM/PM">
                  <c:v>0.95069444444444406</c:v>
                </c:pt>
                <c:pt idx="68" formatCode="[$-F400]h:mm:ss\ AM/PM">
                  <c:v>0.96875</c:v>
                </c:pt>
                <c:pt idx="69" formatCode="[$-F400]h:mm:ss\ AM/PM">
                  <c:v>0.98333333333333295</c:v>
                </c:pt>
                <c:pt idx="70" formatCode="[$-F400]h:mm:ss\ AM/PM">
                  <c:v>1.001388888888888</c:v>
                </c:pt>
                <c:pt idx="71" formatCode="[$-F400]h:mm:ss\ AM/PM">
                  <c:v>1.0222222222222221</c:v>
                </c:pt>
                <c:pt idx="72" formatCode="[$-F400]h:mm:ss\ AM/PM">
                  <c:v>1.0430555555555554</c:v>
                </c:pt>
              </c:numCache>
            </c:numRef>
          </c:xVal>
          <c:yVal>
            <c:numRef>
              <c:f>'18_MF_NB'!$X$2:$X$74</c:f>
              <c:numCache>
                <c:formatCode>_(* #,##0.00_);_(* \(#,##0.00\);_(* "-"??_);_(@_)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17-9D43-BC4B-46A53F8CB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926175"/>
        <c:axId val="375728367"/>
      </c:scatterChart>
      <c:valAx>
        <c:axId val="67692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8367"/>
        <c:crosses val="autoZero"/>
        <c:crossBetween val="midCat"/>
      </c:valAx>
      <c:valAx>
        <c:axId val="37572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2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6</xdr:row>
      <xdr:rowOff>158750</xdr:rowOff>
    </xdr:from>
    <xdr:to>
      <xdr:col>8</xdr:col>
      <xdr:colOff>584200</xdr:colOff>
      <xdr:row>32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C27B17-745F-E710-2FC1-100B8CE1A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77"/>
  <sheetViews>
    <sheetView workbookViewId="0">
      <selection activeCell="V78" sqref="V78"/>
    </sheetView>
  </sheetViews>
  <sheetFormatPr baseColWidth="10" defaultColWidth="12.6640625" defaultRowHeight="15.75" customHeight="1" x14ac:dyDescent="0.15"/>
  <cols>
    <col min="22" max="22" width="22.1640625" bestFit="1" customWidth="1"/>
    <col min="24" max="24" width="12.6640625" style="5"/>
  </cols>
  <sheetData>
    <row r="1" spans="1:24" ht="15.7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</row>
    <row r="2" spans="1:24" ht="15.75" customHeight="1" x14ac:dyDescent="0.15">
      <c r="A2" s="2" t="s">
        <v>10</v>
      </c>
      <c r="B2" s="3">
        <f ca="1">IFERROR(__xludf.DUMMYFUNCTION("SPLIT(A2,"" "")"),0.201388888888888)</f>
        <v>0.20138888888888801</v>
      </c>
      <c r="C2" s="3">
        <f ca="1">IFERROR(__xludf.DUMMYFUNCTION("""COMPUTED_VALUE"""),0.208333333333333)</f>
        <v>0.20833333333333301</v>
      </c>
      <c r="D2" s="3">
        <f ca="1">IFERROR(__xludf.DUMMYFUNCTION("""COMPUTED_VALUE"""),0.2125)</f>
        <v>0.21249999999999999</v>
      </c>
      <c r="E2" s="3">
        <f ca="1">IFERROR(__xludf.DUMMYFUNCTION("""COMPUTED_VALUE"""),0.216666666666666)</f>
        <v>0.21666666666666601</v>
      </c>
      <c r="F2" s="3">
        <f ca="1">IFERROR(__xludf.DUMMYFUNCTION("""COMPUTED_VALUE"""),0.222916666666666)</f>
        <v>0.22291666666666601</v>
      </c>
      <c r="G2" s="3">
        <f ca="1">IFERROR(__xludf.DUMMYFUNCTION("""COMPUTED_VALUE"""),0.227777777777777)</f>
        <v>0.227777777777777</v>
      </c>
      <c r="H2" s="3">
        <f ca="1">IFERROR(__xludf.DUMMYFUNCTION("""COMPUTED_VALUE"""),0.233333333333333)</f>
        <v>0.233333333333333</v>
      </c>
      <c r="I2" s="3">
        <f ca="1">IFERROR(__xludf.DUMMYFUNCTION("""COMPUTED_VALUE"""),0.238194444444444)</f>
        <v>0.23819444444444399</v>
      </c>
      <c r="J2" s="3">
        <f ca="1">IFERROR(__xludf.DUMMYFUNCTION("""COMPUTED_VALUE"""),0.242361111111111)</f>
        <v>0.242361111111111</v>
      </c>
      <c r="K2" s="3">
        <f ca="1">IFERROR(__xludf.DUMMYFUNCTION("""COMPUTED_VALUE"""),0.243055555555555)</f>
        <v>0.243055555555555</v>
      </c>
      <c r="M2" s="3">
        <v>0.2013888888888889</v>
      </c>
      <c r="N2" s="3">
        <v>0.20833333333333334</v>
      </c>
      <c r="O2" s="3">
        <v>0.21249999999999999</v>
      </c>
      <c r="P2" s="3">
        <v>0.21666666666666667</v>
      </c>
      <c r="Q2" s="3">
        <v>0.22291666666666668</v>
      </c>
      <c r="R2" s="3">
        <v>0.22777777777777777</v>
      </c>
      <c r="S2" s="3">
        <v>0.23333333333333334</v>
      </c>
      <c r="T2" s="3">
        <v>0.23819444444444443</v>
      </c>
      <c r="U2" s="3">
        <v>0.24236111111111111</v>
      </c>
      <c r="V2" s="3">
        <v>0.24305555555555555</v>
      </c>
      <c r="W2" s="4">
        <f t="shared" ref="W2:W73" si="0">V2-M2</f>
        <v>4.1666666666666657E-2</v>
      </c>
      <c r="X2" s="6">
        <v>1</v>
      </c>
    </row>
    <row r="3" spans="1:24" ht="15.75" customHeight="1" x14ac:dyDescent="0.15">
      <c r="A3" s="2" t="s">
        <v>11</v>
      </c>
      <c r="B3" s="3">
        <f ca="1">IFERROR(__xludf.DUMMYFUNCTION("SPLIT(A3,"" "")"),0.215277777777777)</f>
        <v>0.21527777777777701</v>
      </c>
      <c r="C3" s="3">
        <f ca="1">IFERROR(__xludf.DUMMYFUNCTION("""COMPUTED_VALUE"""),0.222222222222222)</f>
        <v>0.22222222222222199</v>
      </c>
      <c r="D3" s="3">
        <f ca="1">IFERROR(__xludf.DUMMYFUNCTION("""COMPUTED_VALUE"""),0.226388888888888)</f>
        <v>0.226388888888888</v>
      </c>
      <c r="E3" s="3">
        <f ca="1">IFERROR(__xludf.DUMMYFUNCTION("""COMPUTED_VALUE"""),0.230555555555555)</f>
        <v>0.23055555555555499</v>
      </c>
      <c r="F3" s="3">
        <f ca="1">IFERROR(__xludf.DUMMYFUNCTION("""COMPUTED_VALUE"""),0.236805555555555)</f>
        <v>0.23680555555555499</v>
      </c>
      <c r="G3" s="3">
        <f ca="1">IFERROR(__xludf.DUMMYFUNCTION("""COMPUTED_VALUE"""),0.241666666666666)</f>
        <v>0.241666666666666</v>
      </c>
      <c r="H3" s="3">
        <f ca="1">IFERROR(__xludf.DUMMYFUNCTION("""COMPUTED_VALUE"""),0.247222222222222)</f>
        <v>0.24722222222222201</v>
      </c>
      <c r="I3" s="3">
        <f ca="1">IFERROR(__xludf.DUMMYFUNCTION("""COMPUTED_VALUE"""),0.252083333333333)</f>
        <v>0.25208333333333299</v>
      </c>
      <c r="J3" s="3">
        <f ca="1">IFERROR(__xludf.DUMMYFUNCTION("""COMPUTED_VALUE"""),0.25625)</f>
        <v>0.25624999999999998</v>
      </c>
      <c r="K3" s="3">
        <f ca="1">IFERROR(__xludf.DUMMYFUNCTION("""COMPUTED_VALUE"""),0.256944444444444)</f>
        <v>0.25694444444444398</v>
      </c>
      <c r="M3" s="3">
        <v>0.21527777777777779</v>
      </c>
      <c r="N3" s="3">
        <v>0.22222222222222221</v>
      </c>
      <c r="O3" s="3">
        <v>0.22638888888888889</v>
      </c>
      <c r="P3" s="3">
        <v>0.23055555555555557</v>
      </c>
      <c r="Q3" s="3">
        <v>0.23680555555555555</v>
      </c>
      <c r="R3" s="3">
        <v>0.24166666666666667</v>
      </c>
      <c r="S3" s="3">
        <v>0.24722222222222223</v>
      </c>
      <c r="T3" s="3">
        <v>0.25208333333333333</v>
      </c>
      <c r="U3" s="3">
        <v>0.25624999999999998</v>
      </c>
      <c r="V3" s="3">
        <v>0.25694444444444442</v>
      </c>
      <c r="W3" s="4">
        <f t="shared" si="0"/>
        <v>4.166666666666663E-2</v>
      </c>
      <c r="X3" s="6">
        <v>2</v>
      </c>
    </row>
    <row r="4" spans="1:24" ht="15.75" customHeight="1" x14ac:dyDescent="0.15">
      <c r="A4" s="2" t="s">
        <v>12</v>
      </c>
      <c r="B4" s="3">
        <f ca="1">IFERROR(__xludf.DUMMYFUNCTION("SPLIT(A4,"" "")"),0.229166666666666)</f>
        <v>0.22916666666666599</v>
      </c>
      <c r="C4" s="3">
        <f ca="1">IFERROR(__xludf.DUMMYFUNCTION("""COMPUTED_VALUE"""),0.236111111111111)</f>
        <v>0.23611111111111099</v>
      </c>
      <c r="D4" s="3">
        <f ca="1">IFERROR(__xludf.DUMMYFUNCTION("""COMPUTED_VALUE"""),0.240277777777777)</f>
        <v>0.24027777777777701</v>
      </c>
      <c r="E4" s="3">
        <f ca="1">IFERROR(__xludf.DUMMYFUNCTION("""COMPUTED_VALUE"""),0.244444444444444)</f>
        <v>0.24444444444444399</v>
      </c>
      <c r="F4" s="3">
        <f ca="1">IFERROR(__xludf.DUMMYFUNCTION("""COMPUTED_VALUE"""),0.250694444444444)</f>
        <v>0.250694444444444</v>
      </c>
      <c r="G4" s="3">
        <f ca="1">IFERROR(__xludf.DUMMYFUNCTION("""COMPUTED_VALUE"""),0.255555555555555)</f>
        <v>0.25555555555555498</v>
      </c>
      <c r="H4" s="3">
        <f ca="1">IFERROR(__xludf.DUMMYFUNCTION("""COMPUTED_VALUE"""),0.261111111111111)</f>
        <v>0.26111111111111102</v>
      </c>
      <c r="I4" s="3">
        <f ca="1">IFERROR(__xludf.DUMMYFUNCTION("""COMPUTED_VALUE"""),0.265972222222222)</f>
        <v>0.265972222222222</v>
      </c>
      <c r="J4" s="3">
        <f ca="1">IFERROR(__xludf.DUMMYFUNCTION("""COMPUTED_VALUE"""),0.270138888888888)</f>
        <v>0.27013888888888798</v>
      </c>
      <c r="K4" s="3">
        <f ca="1">IFERROR(__xludf.DUMMYFUNCTION("""COMPUTED_VALUE"""),0.270833333333333)</f>
        <v>0.27083333333333298</v>
      </c>
      <c r="M4" s="3">
        <v>0.22916666666666666</v>
      </c>
      <c r="N4" s="3">
        <v>0.2361111111111111</v>
      </c>
      <c r="O4" s="3">
        <v>0.24027777777777778</v>
      </c>
      <c r="P4" s="3">
        <v>0.24444444444444444</v>
      </c>
      <c r="Q4" s="3">
        <v>0.25069444444444444</v>
      </c>
      <c r="R4" s="3">
        <v>0.25555555555555554</v>
      </c>
      <c r="S4" s="3">
        <v>0.26111111111111113</v>
      </c>
      <c r="T4" s="3">
        <v>0.26597222222222222</v>
      </c>
      <c r="U4" s="3">
        <v>0.27013888888888887</v>
      </c>
      <c r="V4" s="3">
        <v>0.27083333333333331</v>
      </c>
      <c r="W4" s="4">
        <f t="shared" si="0"/>
        <v>4.1666666666666657E-2</v>
      </c>
      <c r="X4" s="6">
        <v>3</v>
      </c>
    </row>
    <row r="5" spans="1:24" ht="15.75" customHeight="1" x14ac:dyDescent="0.15">
      <c r="A5" s="2" t="s">
        <v>13</v>
      </c>
      <c r="B5" s="3">
        <f ca="1">IFERROR(__xludf.DUMMYFUNCTION("SPLIT(A5,"" "")"),0.243055555555555)</f>
        <v>0.243055555555555</v>
      </c>
      <c r="C5" s="3">
        <f ca="1">IFERROR(__xludf.DUMMYFUNCTION("""COMPUTED_VALUE"""),0.25)</f>
        <v>0.25</v>
      </c>
      <c r="D5" s="3">
        <f ca="1">IFERROR(__xludf.DUMMYFUNCTION("""COMPUTED_VALUE"""),0.254166666666666)</f>
        <v>0.25416666666666599</v>
      </c>
      <c r="E5" s="3">
        <f ca="1">IFERROR(__xludf.DUMMYFUNCTION("""COMPUTED_VALUE"""),0.258333333333333)</f>
        <v>0.25833333333333303</v>
      </c>
      <c r="F5" s="3">
        <f ca="1">IFERROR(__xludf.DUMMYFUNCTION("""COMPUTED_VALUE"""),0.264583333333333)</f>
        <v>0.264583333333333</v>
      </c>
      <c r="G5" s="3">
        <f ca="1">IFERROR(__xludf.DUMMYFUNCTION("""COMPUTED_VALUE"""),0.269444444444444)</f>
        <v>0.26944444444444399</v>
      </c>
      <c r="H5" s="3">
        <f ca="1">IFERROR(__xludf.DUMMYFUNCTION("""COMPUTED_VALUE"""),0.275)</f>
        <v>0.27500000000000002</v>
      </c>
      <c r="I5" s="3">
        <f ca="1">IFERROR(__xludf.DUMMYFUNCTION("""COMPUTED_VALUE"""),0.279861111111111)</f>
        <v>0.27986111111111101</v>
      </c>
      <c r="J5" s="3">
        <f ca="1">IFERROR(__xludf.DUMMYFUNCTION("""COMPUTED_VALUE"""),0.284027777777777)</f>
        <v>0.28402777777777699</v>
      </c>
      <c r="K5" s="3">
        <f ca="1">IFERROR(__xludf.DUMMYFUNCTION("""COMPUTED_VALUE"""),0.284722222222222)</f>
        <v>0.28472222222222199</v>
      </c>
      <c r="M5" s="3">
        <v>0.24305555555555555</v>
      </c>
      <c r="N5" s="3">
        <v>0.25</v>
      </c>
      <c r="O5" s="3">
        <v>0.25416666666666665</v>
      </c>
      <c r="P5" s="3">
        <v>0.25833333333333336</v>
      </c>
      <c r="Q5" s="3">
        <v>0.26458333333333334</v>
      </c>
      <c r="R5" s="3">
        <v>0.26944444444444443</v>
      </c>
      <c r="S5" s="3">
        <v>0.27500000000000002</v>
      </c>
      <c r="T5" s="3">
        <v>0.27986111111111112</v>
      </c>
      <c r="U5" s="3">
        <v>0.28402777777777777</v>
      </c>
      <c r="V5" s="3">
        <v>0.28472222222222221</v>
      </c>
      <c r="W5" s="4">
        <f t="shared" si="0"/>
        <v>4.1666666666666657E-2</v>
      </c>
      <c r="X5" s="6">
        <v>4</v>
      </c>
    </row>
    <row r="6" spans="1:24" ht="15.75" customHeight="1" x14ac:dyDescent="0.15">
      <c r="A6" s="2" t="s">
        <v>14</v>
      </c>
      <c r="B6" s="3">
        <f ca="1">IFERROR(__xludf.DUMMYFUNCTION("SPLIT(A6,"" "")"),0.253472222222222)</f>
        <v>0.25347222222222199</v>
      </c>
      <c r="C6" s="3">
        <f ca="1">IFERROR(__xludf.DUMMYFUNCTION("""COMPUTED_VALUE"""),0.260416666666666)</f>
        <v>0.26041666666666602</v>
      </c>
      <c r="D6" s="3">
        <f ca="1">IFERROR(__xludf.DUMMYFUNCTION("""COMPUTED_VALUE"""),0.264583333333333)</f>
        <v>0.264583333333333</v>
      </c>
      <c r="E6" s="3">
        <f ca="1">IFERROR(__xludf.DUMMYFUNCTION("""COMPUTED_VALUE"""),0.26875)</f>
        <v>0.26874999999999999</v>
      </c>
      <c r="F6" s="3">
        <f ca="1">IFERROR(__xludf.DUMMYFUNCTION("""COMPUTED_VALUE"""),0.275)</f>
        <v>0.27500000000000002</v>
      </c>
      <c r="G6" s="3">
        <f ca="1">IFERROR(__xludf.DUMMYFUNCTION("""COMPUTED_VALUE"""),0.279861111111111)</f>
        <v>0.27986111111111101</v>
      </c>
      <c r="H6" s="3">
        <f ca="1">IFERROR(__xludf.DUMMYFUNCTION("""COMPUTED_VALUE"""),0.285416666666666)</f>
        <v>0.28541666666666599</v>
      </c>
      <c r="I6" s="3">
        <f ca="1">IFERROR(__xludf.DUMMYFUNCTION("""COMPUTED_VALUE"""),0.290277777777777)</f>
        <v>0.29027777777777702</v>
      </c>
      <c r="J6" s="3">
        <f ca="1">IFERROR(__xludf.DUMMYFUNCTION("""COMPUTED_VALUE"""),0.294444444444444)</f>
        <v>0.29444444444444401</v>
      </c>
      <c r="K6" s="3">
        <f ca="1">IFERROR(__xludf.DUMMYFUNCTION("""COMPUTED_VALUE"""),0.295138888888888)</f>
        <v>0.29513888888888801</v>
      </c>
      <c r="M6" s="3">
        <v>0.25347222222222221</v>
      </c>
      <c r="N6" s="3">
        <v>0.26041666666666669</v>
      </c>
      <c r="O6" s="3">
        <v>0.26458333333333334</v>
      </c>
      <c r="P6" s="3">
        <v>0.26874999999999999</v>
      </c>
      <c r="Q6" s="3">
        <v>0.27500000000000002</v>
      </c>
      <c r="R6" s="3">
        <v>0.27986111111111112</v>
      </c>
      <c r="S6" s="3">
        <v>0.28541666666666665</v>
      </c>
      <c r="T6" s="3">
        <v>0.2902777777777778</v>
      </c>
      <c r="U6" s="3">
        <v>0.29444444444444445</v>
      </c>
      <c r="V6" s="3">
        <v>0.2951388888888889</v>
      </c>
      <c r="W6" s="4">
        <f t="shared" si="0"/>
        <v>4.1666666666666685E-2</v>
      </c>
      <c r="X6" s="6">
        <v>5</v>
      </c>
    </row>
    <row r="7" spans="1:24" ht="15.75" customHeight="1" x14ac:dyDescent="0.15">
      <c r="A7" s="2" t="s">
        <v>15</v>
      </c>
      <c r="B7" s="3">
        <f ca="1">IFERROR(__xludf.DUMMYFUNCTION("SPLIT(A7,"" "")"),0.263888888888888)</f>
        <v>0.26388888888888801</v>
      </c>
      <c r="C7" s="3">
        <f ca="1">IFERROR(__xludf.DUMMYFUNCTION("""COMPUTED_VALUE"""),0.270833333333333)</f>
        <v>0.27083333333333298</v>
      </c>
      <c r="D7" s="3">
        <f ca="1">IFERROR(__xludf.DUMMYFUNCTION("""COMPUTED_VALUE"""),0.275)</f>
        <v>0.27500000000000002</v>
      </c>
      <c r="E7" s="3">
        <f ca="1">IFERROR(__xludf.DUMMYFUNCTION("""COMPUTED_VALUE"""),0.279166666666666)</f>
        <v>0.27916666666666601</v>
      </c>
      <c r="F7" s="3">
        <f ca="1">IFERROR(__xludf.DUMMYFUNCTION("""COMPUTED_VALUE"""),0.285416666666666)</f>
        <v>0.28541666666666599</v>
      </c>
      <c r="G7" s="3">
        <f ca="1">IFERROR(__xludf.DUMMYFUNCTION("""COMPUTED_VALUE"""),0.290277777777777)</f>
        <v>0.29027777777777702</v>
      </c>
      <c r="H7" s="3">
        <f ca="1">IFERROR(__xludf.DUMMYFUNCTION("""COMPUTED_VALUE"""),0.295833333333333)</f>
        <v>0.295833333333333</v>
      </c>
      <c r="I7" s="3">
        <f ca="1">IFERROR(__xludf.DUMMYFUNCTION("""COMPUTED_VALUE"""),0.300694444444444)</f>
        <v>0.30069444444444399</v>
      </c>
      <c r="J7" s="3">
        <f ca="1">IFERROR(__xludf.DUMMYFUNCTION("""COMPUTED_VALUE"""),0.304861111111111)</f>
        <v>0.30486111111111103</v>
      </c>
      <c r="K7" s="3">
        <f ca="1">IFERROR(__xludf.DUMMYFUNCTION("""COMPUTED_VALUE"""),0.305555555555555)</f>
        <v>0.30555555555555503</v>
      </c>
      <c r="M7" s="3">
        <v>0.2638888888888889</v>
      </c>
      <c r="N7" s="3">
        <v>0.27083333333333331</v>
      </c>
      <c r="O7" s="3">
        <v>0.27500000000000002</v>
      </c>
      <c r="P7" s="3">
        <v>0.27916666666666667</v>
      </c>
      <c r="Q7" s="3">
        <v>0.28541666666666665</v>
      </c>
      <c r="R7" s="3">
        <v>0.2902777777777778</v>
      </c>
      <c r="S7" s="3">
        <v>0.29583333333333334</v>
      </c>
      <c r="T7" s="3">
        <v>0.30069444444444443</v>
      </c>
      <c r="U7" s="3">
        <v>0.30486111111111114</v>
      </c>
      <c r="V7" s="3">
        <v>0.30555555555555558</v>
      </c>
      <c r="W7" s="4">
        <f t="shared" si="0"/>
        <v>4.1666666666666685E-2</v>
      </c>
      <c r="X7" s="6">
        <v>6</v>
      </c>
    </row>
    <row r="8" spans="1:24" ht="15.75" customHeight="1" x14ac:dyDescent="0.15">
      <c r="A8" s="2" t="s">
        <v>16</v>
      </c>
      <c r="B8" s="3">
        <f ca="1">IFERROR(__xludf.DUMMYFUNCTION("SPLIT(A8,"" "")"),0.274305555555555)</f>
        <v>0.27430555555555503</v>
      </c>
      <c r="C8" s="3">
        <f ca="1">IFERROR(__xludf.DUMMYFUNCTION("""COMPUTED_VALUE"""),0.28125)</f>
        <v>0.28125</v>
      </c>
      <c r="D8" s="3">
        <f ca="1">IFERROR(__xludf.DUMMYFUNCTION("""COMPUTED_VALUE"""),0.285416666666666)</f>
        <v>0.28541666666666599</v>
      </c>
      <c r="E8" s="3">
        <f ca="1">IFERROR(__xludf.DUMMYFUNCTION("""COMPUTED_VALUE"""),0.289583333333333)</f>
        <v>0.28958333333333303</v>
      </c>
      <c r="F8" s="3">
        <f ca="1">IFERROR(__xludf.DUMMYFUNCTION("""COMPUTED_VALUE"""),0.295833333333333)</f>
        <v>0.295833333333333</v>
      </c>
      <c r="G8" s="3">
        <f ca="1">IFERROR(__xludf.DUMMYFUNCTION("""COMPUTED_VALUE"""),0.300694444444444)</f>
        <v>0.30069444444444399</v>
      </c>
      <c r="H8" s="3">
        <f ca="1">IFERROR(__xludf.DUMMYFUNCTION("""COMPUTED_VALUE"""),0.30625)</f>
        <v>0.30625000000000002</v>
      </c>
      <c r="I8" s="3">
        <f ca="1">IFERROR(__xludf.DUMMYFUNCTION("""COMPUTED_VALUE"""),0.311111111111111)</f>
        <v>0.31111111111111101</v>
      </c>
      <c r="J8" s="3">
        <f ca="1">IFERROR(__xludf.DUMMYFUNCTION("""COMPUTED_VALUE"""),0.315277777777777)</f>
        <v>0.31527777777777699</v>
      </c>
      <c r="K8" s="3">
        <f ca="1">IFERROR(__xludf.DUMMYFUNCTION("""COMPUTED_VALUE"""),0.315972222222222)</f>
        <v>0.31597222222222199</v>
      </c>
      <c r="M8" s="3">
        <v>0.27430555555555558</v>
      </c>
      <c r="N8" s="3">
        <v>0.28125</v>
      </c>
      <c r="O8" s="3">
        <v>0.28541666666666665</v>
      </c>
      <c r="P8" s="3">
        <v>0.28958333333333336</v>
      </c>
      <c r="Q8" s="3">
        <v>0.29583333333333334</v>
      </c>
      <c r="R8" s="3">
        <v>0.30069444444444443</v>
      </c>
      <c r="S8" s="3">
        <v>0.30625000000000002</v>
      </c>
      <c r="T8" s="3">
        <v>0.31111111111111112</v>
      </c>
      <c r="U8" s="3">
        <v>0.31527777777777777</v>
      </c>
      <c r="V8" s="3">
        <v>0.31597222222222221</v>
      </c>
      <c r="W8" s="4">
        <f t="shared" si="0"/>
        <v>4.166666666666663E-2</v>
      </c>
      <c r="X8" s="6">
        <v>7</v>
      </c>
    </row>
    <row r="9" spans="1:24" ht="15.75" customHeight="1" x14ac:dyDescent="0.15">
      <c r="A9" s="2" t="s">
        <v>17</v>
      </c>
      <c r="B9" s="3">
        <f ca="1">IFERROR(__xludf.DUMMYFUNCTION("SPLIT(A9,"" "")"),0.284722222222222)</f>
        <v>0.28472222222222199</v>
      </c>
      <c r="C9" s="3">
        <f ca="1">IFERROR(__xludf.DUMMYFUNCTION("""COMPUTED_VALUE"""),0.291666666666666)</f>
        <v>0.29166666666666602</v>
      </c>
      <c r="D9" s="3">
        <f ca="1">IFERROR(__xludf.DUMMYFUNCTION("""COMPUTED_VALUE"""),0.295833333333333)</f>
        <v>0.295833333333333</v>
      </c>
      <c r="E9" s="3">
        <f ca="1">IFERROR(__xludf.DUMMYFUNCTION("""COMPUTED_VALUE"""),0.3)</f>
        <v>0.3</v>
      </c>
      <c r="F9" s="3">
        <f ca="1">IFERROR(__xludf.DUMMYFUNCTION("""COMPUTED_VALUE"""),0.30625)</f>
        <v>0.30625000000000002</v>
      </c>
      <c r="G9" s="3">
        <f ca="1">IFERROR(__xludf.DUMMYFUNCTION("""COMPUTED_VALUE"""),0.311111111111111)</f>
        <v>0.31111111111111101</v>
      </c>
      <c r="H9" s="3">
        <f ca="1">IFERROR(__xludf.DUMMYFUNCTION("""COMPUTED_VALUE"""),0.316666666666666)</f>
        <v>0.31666666666666599</v>
      </c>
      <c r="I9" s="3">
        <f ca="1">IFERROR(__xludf.DUMMYFUNCTION("""COMPUTED_VALUE"""),0.321527777777777)</f>
        <v>0.32152777777777702</v>
      </c>
      <c r="J9" s="3">
        <f ca="1">IFERROR(__xludf.DUMMYFUNCTION("""COMPUTED_VALUE"""),0.325694444444444)</f>
        <v>0.32569444444444401</v>
      </c>
      <c r="K9" s="3">
        <f ca="1">IFERROR(__xludf.DUMMYFUNCTION("""COMPUTED_VALUE"""),0.326388888888888)</f>
        <v>0.32638888888888801</v>
      </c>
      <c r="M9" s="3">
        <v>0.28472222222222221</v>
      </c>
      <c r="N9" s="3">
        <v>0.29166666666666669</v>
      </c>
      <c r="O9" s="3">
        <v>0.29583333333333334</v>
      </c>
      <c r="P9" s="3">
        <v>0.3</v>
      </c>
      <c r="Q9" s="3">
        <v>0.30625000000000002</v>
      </c>
      <c r="R9" s="3">
        <v>0.31111111111111112</v>
      </c>
      <c r="S9" s="3">
        <v>0.31666666666666665</v>
      </c>
      <c r="T9" s="3">
        <v>0.3215277777777778</v>
      </c>
      <c r="U9" s="3">
        <v>0.32569444444444445</v>
      </c>
      <c r="V9" s="3">
        <v>0.3263888888888889</v>
      </c>
      <c r="W9" s="4">
        <f t="shared" si="0"/>
        <v>4.1666666666666685E-2</v>
      </c>
      <c r="X9" s="6">
        <v>8</v>
      </c>
    </row>
    <row r="10" spans="1:24" ht="15.75" customHeight="1" x14ac:dyDescent="0.15">
      <c r="A10" s="2" t="s">
        <v>18</v>
      </c>
      <c r="B10" s="3">
        <f ca="1">IFERROR(__xludf.DUMMYFUNCTION("SPLIT(A10,"" "")"),0.295138888888888)</f>
        <v>0.29513888888888801</v>
      </c>
      <c r="C10" s="3">
        <f ca="1">IFERROR(__xludf.DUMMYFUNCTION("""COMPUTED_VALUE"""),0.302777777777777)</f>
        <v>0.30277777777777698</v>
      </c>
      <c r="D10" s="3">
        <f ca="1">IFERROR(__xludf.DUMMYFUNCTION("""COMPUTED_VALUE"""),0.308333333333333)</f>
        <v>0.30833333333333302</v>
      </c>
      <c r="E10" s="3">
        <f ca="1">IFERROR(__xludf.DUMMYFUNCTION("""COMPUTED_VALUE"""),0.313888888888888)</f>
        <v>0.313888888888888</v>
      </c>
      <c r="F10" s="3">
        <f ca="1">IFERROR(__xludf.DUMMYFUNCTION("""COMPUTED_VALUE"""),0.322222222222222)</f>
        <v>0.32222222222222202</v>
      </c>
      <c r="G10" s="3">
        <f ca="1">IFERROR(__xludf.DUMMYFUNCTION("""COMPUTED_VALUE"""),0.328472222222222)</f>
        <v>0.328472222222222</v>
      </c>
      <c r="H10" s="3">
        <f ca="1">IFERROR(__xludf.DUMMYFUNCTION("""COMPUTED_VALUE"""),0.334027777777777)</f>
        <v>0.33402777777777698</v>
      </c>
      <c r="I10" s="3">
        <f ca="1">IFERROR(__xludf.DUMMYFUNCTION("""COMPUTED_VALUE"""),0.340277777777777)</f>
        <v>0.34027777777777701</v>
      </c>
      <c r="J10" s="3">
        <f ca="1">IFERROR(__xludf.DUMMYFUNCTION("""COMPUTED_VALUE"""),0.344444444444444)</f>
        <v>0.344444444444444</v>
      </c>
      <c r="K10" s="3">
        <f ca="1">IFERROR(__xludf.DUMMYFUNCTION("""COMPUTED_VALUE"""),0.345138888888888)</f>
        <v>0.345138888888888</v>
      </c>
      <c r="M10" s="3">
        <v>0.2951388888888889</v>
      </c>
      <c r="N10" s="3">
        <v>0.30277777777777776</v>
      </c>
      <c r="O10" s="3">
        <v>0.30833333333333335</v>
      </c>
      <c r="P10" s="3">
        <v>0.31388888888888888</v>
      </c>
      <c r="Q10" s="3">
        <v>0.32222222222222224</v>
      </c>
      <c r="R10" s="3">
        <v>0.32847222222222222</v>
      </c>
      <c r="S10" s="3">
        <v>0.33402777777777776</v>
      </c>
      <c r="T10" s="3">
        <v>0.34027777777777779</v>
      </c>
      <c r="U10" s="3">
        <v>0.34444444444444444</v>
      </c>
      <c r="V10" s="3">
        <v>0.34513888888888888</v>
      </c>
      <c r="W10" s="4">
        <f t="shared" si="0"/>
        <v>4.9999999999999989E-2</v>
      </c>
      <c r="X10" s="6">
        <v>9</v>
      </c>
    </row>
    <row r="11" spans="1:24" ht="15.75" customHeight="1" x14ac:dyDescent="0.15">
      <c r="A11" s="2" t="s">
        <v>19</v>
      </c>
      <c r="B11" s="3">
        <f ca="1">IFERROR(__xludf.DUMMYFUNCTION("SPLIT(A11,"" "")"),0.305555555555555)</f>
        <v>0.30555555555555503</v>
      </c>
      <c r="C11" s="3">
        <f ca="1">IFERROR(__xludf.DUMMYFUNCTION("""COMPUTED_VALUE"""),0.313194444444444)</f>
        <v>0.313194444444444</v>
      </c>
      <c r="D11" s="3">
        <f ca="1">IFERROR(__xludf.DUMMYFUNCTION("""COMPUTED_VALUE"""),0.31875)</f>
        <v>0.31874999999999998</v>
      </c>
      <c r="E11" s="3">
        <f ca="1">IFERROR(__xludf.DUMMYFUNCTION("""COMPUTED_VALUE"""),0.324305555555555)</f>
        <v>0.32430555555555501</v>
      </c>
      <c r="F11" s="3">
        <f ca="1">IFERROR(__xludf.DUMMYFUNCTION("""COMPUTED_VALUE"""),0.332638888888888)</f>
        <v>0.33263888888888798</v>
      </c>
      <c r="G11" s="3">
        <f ca="1">IFERROR(__xludf.DUMMYFUNCTION("""COMPUTED_VALUE"""),0.338888888888888)</f>
        <v>0.33888888888888802</v>
      </c>
      <c r="H11" s="3">
        <f ca="1">IFERROR(__xludf.DUMMYFUNCTION("""COMPUTED_VALUE"""),0.344444444444444)</f>
        <v>0.344444444444444</v>
      </c>
      <c r="I11" s="3">
        <f ca="1">IFERROR(__xludf.DUMMYFUNCTION("""COMPUTED_VALUE"""),0.350694444444444)</f>
        <v>0.35069444444444398</v>
      </c>
      <c r="J11" s="3">
        <f ca="1">IFERROR(__xludf.DUMMYFUNCTION("""COMPUTED_VALUE"""),0.354861111111111)</f>
        <v>0.35486111111111102</v>
      </c>
      <c r="K11" s="3">
        <f ca="1">IFERROR(__xludf.DUMMYFUNCTION("""COMPUTED_VALUE"""),0.355555555555555)</f>
        <v>0.35555555555555501</v>
      </c>
      <c r="M11" s="3">
        <v>0.30555555555555558</v>
      </c>
      <c r="N11" s="3">
        <v>0.31319444444444444</v>
      </c>
      <c r="O11" s="3">
        <v>0.31874999999999998</v>
      </c>
      <c r="P11" s="3">
        <v>0.32430555555555557</v>
      </c>
      <c r="Q11" s="3">
        <v>0.33263888888888887</v>
      </c>
      <c r="R11" s="3">
        <v>0.33888888888888891</v>
      </c>
      <c r="S11" s="3">
        <v>0.34444444444444444</v>
      </c>
      <c r="T11" s="3">
        <v>0.35069444444444442</v>
      </c>
      <c r="U11" s="3">
        <v>0.35486111111111113</v>
      </c>
      <c r="V11" s="3">
        <v>0.35555555555555557</v>
      </c>
      <c r="W11" s="4">
        <f t="shared" si="0"/>
        <v>4.9999999999999989E-2</v>
      </c>
      <c r="X11" s="6">
        <v>10</v>
      </c>
    </row>
    <row r="12" spans="1:24" ht="15.75" customHeight="1" x14ac:dyDescent="0.15">
      <c r="A12" s="2" t="s">
        <v>20</v>
      </c>
      <c r="B12" s="3">
        <f ca="1">IFERROR(__xludf.DUMMYFUNCTION("SPLIT(A12,"" "")"),0.315972222222222)</f>
        <v>0.31597222222222199</v>
      </c>
      <c r="C12" s="3">
        <f ca="1">IFERROR(__xludf.DUMMYFUNCTION("""COMPUTED_VALUE"""),0.323611111111111)</f>
        <v>0.32361111111111102</v>
      </c>
      <c r="D12" s="3">
        <f ca="1">IFERROR(__xludf.DUMMYFUNCTION("""COMPUTED_VALUE"""),0.329166666666666)</f>
        <v>0.329166666666666</v>
      </c>
      <c r="E12" s="3">
        <f ca="1">IFERROR(__xludf.DUMMYFUNCTION("""COMPUTED_VALUE"""),0.334722222222222)</f>
        <v>0.33472222222222198</v>
      </c>
      <c r="F12" s="3">
        <f ca="1">IFERROR(__xludf.DUMMYFUNCTION("""COMPUTED_VALUE"""),0.343055555555555)</f>
        <v>0.343055555555555</v>
      </c>
      <c r="G12" s="3">
        <f ca="1">IFERROR(__xludf.DUMMYFUNCTION("""COMPUTED_VALUE"""),0.349305555555555)</f>
        <v>0.34930555555555498</v>
      </c>
      <c r="H12" s="3">
        <f ca="1">IFERROR(__xludf.DUMMYFUNCTION("""COMPUTED_VALUE"""),0.354861111111111)</f>
        <v>0.35486111111111102</v>
      </c>
      <c r="I12" s="3">
        <f ca="1">IFERROR(__xludf.DUMMYFUNCTION("""COMPUTED_VALUE"""),0.361111111111111)</f>
        <v>0.36111111111111099</v>
      </c>
      <c r="J12" s="3">
        <f ca="1">IFERROR(__xludf.DUMMYFUNCTION("""COMPUTED_VALUE"""),0.365277777777777)</f>
        <v>0.36527777777777698</v>
      </c>
      <c r="K12" s="3">
        <f ca="1">IFERROR(__xludf.DUMMYFUNCTION("""COMPUTED_VALUE"""),0.365972222222222)</f>
        <v>0.36597222222222198</v>
      </c>
      <c r="M12" s="3">
        <v>0.31597222222222221</v>
      </c>
      <c r="N12" s="3">
        <v>0.32361111111111113</v>
      </c>
      <c r="O12" s="3">
        <v>0.32916666666666666</v>
      </c>
      <c r="P12" s="3">
        <v>0.3347222222222222</v>
      </c>
      <c r="Q12" s="3">
        <v>0.34305555555555556</v>
      </c>
      <c r="R12" s="3">
        <v>0.34930555555555554</v>
      </c>
      <c r="S12" s="3">
        <v>0.35486111111111113</v>
      </c>
      <c r="T12" s="3">
        <v>0.3611111111111111</v>
      </c>
      <c r="U12" s="3">
        <v>0.36527777777777776</v>
      </c>
      <c r="V12" s="3">
        <v>0.3659722222222222</v>
      </c>
      <c r="W12" s="4">
        <f t="shared" si="0"/>
        <v>4.9999999999999989E-2</v>
      </c>
      <c r="X12" s="6">
        <v>11</v>
      </c>
    </row>
    <row r="13" spans="1:24" ht="15.75" customHeight="1" x14ac:dyDescent="0.15">
      <c r="A13" s="2" t="s">
        <v>21</v>
      </c>
      <c r="B13" s="3">
        <f ca="1">IFERROR(__xludf.DUMMYFUNCTION("SPLIT(A13,"" "")"),0.328472222222222)</f>
        <v>0.328472222222222</v>
      </c>
      <c r="C13" s="3">
        <f ca="1">IFERROR(__xludf.DUMMYFUNCTION("""COMPUTED_VALUE"""),0.336111111111111)</f>
        <v>0.33611111111111103</v>
      </c>
      <c r="D13" s="3">
        <f ca="1">IFERROR(__xludf.DUMMYFUNCTION("""COMPUTED_VALUE"""),0.341666666666666)</f>
        <v>0.34166666666666601</v>
      </c>
      <c r="E13" s="3">
        <f ca="1">IFERROR(__xludf.DUMMYFUNCTION("""COMPUTED_VALUE"""),0.347222222222222)</f>
        <v>0.34722222222222199</v>
      </c>
      <c r="F13" s="3">
        <f ca="1">IFERROR(__xludf.DUMMYFUNCTION("""COMPUTED_VALUE"""),0.355555555555555)</f>
        <v>0.35555555555555501</v>
      </c>
      <c r="G13" s="3">
        <f ca="1">IFERROR(__xludf.DUMMYFUNCTION("""COMPUTED_VALUE"""),0.361805555555555)</f>
        <v>0.36180555555555499</v>
      </c>
      <c r="H13" s="3">
        <f ca="1">IFERROR(__xludf.DUMMYFUNCTION("""COMPUTED_VALUE"""),0.369444444444444)</f>
        <v>0.36944444444444402</v>
      </c>
      <c r="I13" s="3">
        <f ca="1">IFERROR(__xludf.DUMMYFUNCTION("""COMPUTED_VALUE"""),0.375694444444444)</f>
        <v>0.375694444444444</v>
      </c>
      <c r="J13" s="3">
        <f ca="1">IFERROR(__xludf.DUMMYFUNCTION("""COMPUTED_VALUE"""),0.380555555555555)</f>
        <v>0.38055555555555498</v>
      </c>
      <c r="K13" s="3">
        <f ca="1">IFERROR(__xludf.DUMMYFUNCTION("""COMPUTED_VALUE"""),0.381944444444444)</f>
        <v>0.38194444444444398</v>
      </c>
      <c r="M13" s="3">
        <v>0.32847222222222222</v>
      </c>
      <c r="N13" s="3">
        <v>0.33611111111111114</v>
      </c>
      <c r="O13" s="3">
        <v>0.34166666666666667</v>
      </c>
      <c r="P13" s="3">
        <v>0.34722222222222221</v>
      </c>
      <c r="Q13" s="3">
        <v>0.35555555555555557</v>
      </c>
      <c r="R13" s="3">
        <v>0.36180555555555555</v>
      </c>
      <c r="S13" s="3">
        <v>0.36944444444444446</v>
      </c>
      <c r="T13" s="3">
        <v>0.37569444444444444</v>
      </c>
      <c r="U13" s="3">
        <v>0.38055555555555554</v>
      </c>
      <c r="V13" s="3">
        <v>0.38194444444444442</v>
      </c>
      <c r="W13" s="4">
        <f t="shared" si="0"/>
        <v>5.3472222222222199E-2</v>
      </c>
      <c r="X13" s="6">
        <v>12</v>
      </c>
    </row>
    <row r="14" spans="1:24" ht="15.75" customHeight="1" x14ac:dyDescent="0.15">
      <c r="A14" s="2" t="s">
        <v>22</v>
      </c>
      <c r="B14" s="3">
        <f ca="1">IFERROR(__xludf.DUMMYFUNCTION("SPLIT(A14,"" "")"),0.338888888888888)</f>
        <v>0.33888888888888802</v>
      </c>
      <c r="C14" s="3">
        <f ca="1">IFERROR(__xludf.DUMMYFUNCTION("""COMPUTED_VALUE"""),0.346527777777777)</f>
        <v>0.34652777777777699</v>
      </c>
      <c r="D14" s="3">
        <f ca="1">IFERROR(__xludf.DUMMYFUNCTION("""COMPUTED_VALUE"""),0.352083333333333)</f>
        <v>0.35208333333333303</v>
      </c>
      <c r="E14" s="3">
        <f ca="1">IFERROR(__xludf.DUMMYFUNCTION("""COMPUTED_VALUE"""),0.357638888888888)</f>
        <v>0.35763888888888801</v>
      </c>
      <c r="F14" s="3">
        <f ca="1">IFERROR(__xludf.DUMMYFUNCTION("""COMPUTED_VALUE"""),0.365972222222222)</f>
        <v>0.36597222222222198</v>
      </c>
      <c r="G14" s="3">
        <f ca="1">IFERROR(__xludf.DUMMYFUNCTION("""COMPUTED_VALUE"""),0.372916666666666)</f>
        <v>0.37291666666666601</v>
      </c>
      <c r="H14" s="3">
        <f ca="1">IFERROR(__xludf.DUMMYFUNCTION("""COMPUTED_VALUE"""),0.380555555555555)</f>
        <v>0.38055555555555498</v>
      </c>
      <c r="I14" s="3">
        <f ca="1">IFERROR(__xludf.DUMMYFUNCTION("""COMPUTED_VALUE"""),0.386805555555555)</f>
        <v>0.38680555555555501</v>
      </c>
      <c r="J14" s="3">
        <f ca="1">IFERROR(__xludf.DUMMYFUNCTION("""COMPUTED_VALUE"""),0.391666666666666)</f>
        <v>0.391666666666666</v>
      </c>
      <c r="K14" s="3">
        <f ca="1">IFERROR(__xludf.DUMMYFUNCTION("""COMPUTED_VALUE"""),0.393055555555555)</f>
        <v>0.39305555555555499</v>
      </c>
      <c r="M14" s="3">
        <v>0.33888888888888891</v>
      </c>
      <c r="N14" s="3">
        <v>0.34652777777777777</v>
      </c>
      <c r="O14" s="3">
        <v>0.35208333333333336</v>
      </c>
      <c r="P14" s="3">
        <v>0.3576388888888889</v>
      </c>
      <c r="Q14" s="3">
        <v>0.3659722222222222</v>
      </c>
      <c r="R14" s="3">
        <v>0.37291666666666667</v>
      </c>
      <c r="S14" s="3">
        <v>0.38055555555555554</v>
      </c>
      <c r="T14" s="3">
        <v>0.38680555555555557</v>
      </c>
      <c r="U14" s="3">
        <v>0.39166666666666666</v>
      </c>
      <c r="V14" s="3">
        <v>0.39305555555555555</v>
      </c>
      <c r="W14" s="4">
        <f t="shared" si="0"/>
        <v>5.4166666666666641E-2</v>
      </c>
      <c r="X14" s="6">
        <v>13</v>
      </c>
    </row>
    <row r="15" spans="1:24" ht="15.75" customHeight="1" x14ac:dyDescent="0.15">
      <c r="A15" s="2" t="s">
        <v>23</v>
      </c>
      <c r="B15" s="3">
        <f ca="1">IFERROR(__xludf.DUMMYFUNCTION("SPLIT(A15,"" "")"),0.349305555555555)</f>
        <v>0.34930555555555498</v>
      </c>
      <c r="C15" s="3">
        <f ca="1">IFERROR(__xludf.DUMMYFUNCTION("""COMPUTED_VALUE"""),0.356944444444444)</f>
        <v>0.35694444444444401</v>
      </c>
      <c r="D15" s="3">
        <f ca="1">IFERROR(__xludf.DUMMYFUNCTION("""COMPUTED_VALUE"""),0.3625)</f>
        <v>0.36249999999999999</v>
      </c>
      <c r="E15" s="3">
        <f ca="1">IFERROR(__xludf.DUMMYFUNCTION("""COMPUTED_VALUE"""),0.368055555555555)</f>
        <v>0.36805555555555503</v>
      </c>
      <c r="F15" s="3">
        <f ca="1">IFERROR(__xludf.DUMMYFUNCTION("""COMPUTED_VALUE"""),0.376388888888888)</f>
        <v>0.376388888888888</v>
      </c>
      <c r="G15" s="3">
        <f ca="1">IFERROR(__xludf.DUMMYFUNCTION("""COMPUTED_VALUE"""),0.383333333333333)</f>
        <v>0.38333333333333303</v>
      </c>
      <c r="H15" s="3">
        <f ca="1">IFERROR(__xludf.DUMMYFUNCTION("""COMPUTED_VALUE"""),0.390972222222222)</f>
        <v>0.390972222222222</v>
      </c>
      <c r="I15" s="3">
        <f ca="1">IFERROR(__xludf.DUMMYFUNCTION("""COMPUTED_VALUE"""),0.397222222222222)</f>
        <v>0.39722222222222198</v>
      </c>
      <c r="J15" s="3">
        <f ca="1">IFERROR(__xludf.DUMMYFUNCTION("""COMPUTED_VALUE"""),0.402083333333333)</f>
        <v>0.40208333333333302</v>
      </c>
      <c r="K15" s="3">
        <f ca="1">IFERROR(__xludf.DUMMYFUNCTION("""COMPUTED_VALUE"""),0.403472222222222)</f>
        <v>0.40347222222222201</v>
      </c>
      <c r="M15" s="3">
        <v>0.34930555555555554</v>
      </c>
      <c r="N15" s="3">
        <v>0.35694444444444445</v>
      </c>
      <c r="O15" s="3">
        <v>0.36249999999999999</v>
      </c>
      <c r="P15" s="3">
        <v>0.36805555555555558</v>
      </c>
      <c r="Q15" s="3">
        <v>0.37638888888888888</v>
      </c>
      <c r="R15" s="3">
        <v>0.38333333333333336</v>
      </c>
      <c r="S15" s="3">
        <v>0.39097222222222222</v>
      </c>
      <c r="T15" s="3">
        <v>0.3972222222222222</v>
      </c>
      <c r="U15" s="3">
        <v>0.40208333333333335</v>
      </c>
      <c r="V15" s="3">
        <v>0.40347222222222223</v>
      </c>
      <c r="W15" s="4">
        <f t="shared" si="0"/>
        <v>5.4166666666666696E-2</v>
      </c>
      <c r="X15" s="6">
        <v>14</v>
      </c>
    </row>
    <row r="16" spans="1:24" ht="15.75" customHeight="1" x14ac:dyDescent="0.15">
      <c r="A16" s="2" t="s">
        <v>24</v>
      </c>
      <c r="B16" s="3">
        <f ca="1">IFERROR(__xludf.DUMMYFUNCTION("SPLIT(A16,"" "")"),0.359722222222222)</f>
        <v>0.359722222222222</v>
      </c>
      <c r="C16" s="3">
        <f ca="1">IFERROR(__xludf.DUMMYFUNCTION("""COMPUTED_VALUE"""),0.367361111111111)</f>
        <v>0.36736111111111103</v>
      </c>
      <c r="D16" s="3">
        <f ca="1">IFERROR(__xludf.DUMMYFUNCTION("""COMPUTED_VALUE"""),0.372916666666666)</f>
        <v>0.37291666666666601</v>
      </c>
      <c r="E16" s="3">
        <f ca="1">IFERROR(__xludf.DUMMYFUNCTION("""COMPUTED_VALUE"""),0.378472222222222)</f>
        <v>0.37847222222222199</v>
      </c>
      <c r="F16" s="3">
        <f ca="1">IFERROR(__xludf.DUMMYFUNCTION("""COMPUTED_VALUE"""),0.386805555555555)</f>
        <v>0.38680555555555501</v>
      </c>
      <c r="G16" s="3">
        <f ca="1">IFERROR(__xludf.DUMMYFUNCTION("""COMPUTED_VALUE"""),0.39375)</f>
        <v>0.39374999999999999</v>
      </c>
      <c r="H16" s="3">
        <f ca="1">IFERROR(__xludf.DUMMYFUNCTION("""COMPUTED_VALUE"""),0.401388888888888)</f>
        <v>0.40138888888888802</v>
      </c>
      <c r="I16" s="3">
        <f ca="1">IFERROR(__xludf.DUMMYFUNCTION("""COMPUTED_VALUE"""),0.407638888888888)</f>
        <v>0.407638888888888</v>
      </c>
      <c r="J16" s="3">
        <f ca="1">IFERROR(__xludf.DUMMYFUNCTION("""COMPUTED_VALUE"""),0.4125)</f>
        <v>0.41249999999999998</v>
      </c>
      <c r="K16" s="3">
        <f ca="1">IFERROR(__xludf.DUMMYFUNCTION("""COMPUTED_VALUE"""),0.413888888888888)</f>
        <v>0.41388888888888797</v>
      </c>
      <c r="M16" s="3">
        <v>0.35972222222222222</v>
      </c>
      <c r="N16" s="3">
        <v>0.36736111111111114</v>
      </c>
      <c r="O16" s="3">
        <v>0.37291666666666667</v>
      </c>
      <c r="P16" s="3">
        <v>0.37847222222222221</v>
      </c>
      <c r="Q16" s="3">
        <v>0.38680555555555557</v>
      </c>
      <c r="R16" s="3">
        <v>0.39374999999999999</v>
      </c>
      <c r="S16" s="3">
        <v>0.40138888888888891</v>
      </c>
      <c r="T16" s="3">
        <v>0.40763888888888888</v>
      </c>
      <c r="U16" s="3">
        <v>0.41249999999999998</v>
      </c>
      <c r="V16" s="3">
        <v>0.41388888888888886</v>
      </c>
      <c r="W16" s="4">
        <f t="shared" si="0"/>
        <v>5.4166666666666641E-2</v>
      </c>
      <c r="X16" s="6">
        <v>15</v>
      </c>
    </row>
    <row r="17" spans="1:24" ht="15.75" customHeight="1" x14ac:dyDescent="0.15">
      <c r="A17" s="2" t="s">
        <v>25</v>
      </c>
      <c r="B17" s="3">
        <f ca="1">IFERROR(__xludf.DUMMYFUNCTION("SPLIT(A17,"" "")"),0.364583333333333)</f>
        <v>0.36458333333333298</v>
      </c>
      <c r="C17" s="3">
        <f ca="1">IFERROR(__xludf.DUMMYFUNCTION("""COMPUTED_VALUE"""),0.372222222222222)</f>
        <v>0.37222222222222201</v>
      </c>
      <c r="D17" s="3">
        <f ca="1">IFERROR(__xludf.DUMMYFUNCTION("""COMPUTED_VALUE"""),0.377777777777777)</f>
        <v>0.37777777777777699</v>
      </c>
      <c r="E17" s="3">
        <f ca="1">IFERROR(__xludf.DUMMYFUNCTION("""COMPUTED_VALUE"""),0.383333333333333)</f>
        <v>0.38333333333333303</v>
      </c>
      <c r="F17" s="3">
        <f ca="1">IFERROR(__xludf.DUMMYFUNCTION("""COMPUTED_VALUE"""),0.391666666666666)</f>
        <v>0.391666666666666</v>
      </c>
      <c r="G17" s="3">
        <f ca="1">IFERROR(__xludf.DUMMYFUNCTION("""COMPUTED_VALUE"""),0.398611111111111)</f>
        <v>0.39861111111111103</v>
      </c>
      <c r="H17" s="3">
        <f ca="1">IFERROR(__xludf.DUMMYFUNCTION("""COMPUTED_VALUE"""),0.40625)</f>
        <v>0.40625</v>
      </c>
      <c r="I17" s="3">
        <f ca="1">IFERROR(__xludf.DUMMYFUNCTION("""COMPUTED_VALUE"""),0.4125)</f>
        <v>0.41249999999999998</v>
      </c>
      <c r="J17" s="3">
        <f ca="1">IFERROR(__xludf.DUMMYFUNCTION("""COMPUTED_VALUE"""),0.417361111111111)</f>
        <v>0.41736111111111102</v>
      </c>
      <c r="K17" s="3">
        <f ca="1">IFERROR(__xludf.DUMMYFUNCTION("""COMPUTED_VALUE"""),0.41875)</f>
        <v>0.41875000000000001</v>
      </c>
      <c r="M17" s="3">
        <v>0.36458333333333331</v>
      </c>
      <c r="N17" s="3">
        <v>0.37222222222222223</v>
      </c>
      <c r="O17" s="3">
        <v>0.37777777777777777</v>
      </c>
      <c r="P17" s="3">
        <v>0.38333333333333336</v>
      </c>
      <c r="Q17" s="3">
        <v>0.39166666666666666</v>
      </c>
      <c r="R17" s="3">
        <v>0.39861111111111114</v>
      </c>
      <c r="S17" s="3">
        <v>0.40625</v>
      </c>
      <c r="T17" s="3">
        <v>0.41249999999999998</v>
      </c>
      <c r="U17" s="3">
        <v>0.41736111111111113</v>
      </c>
      <c r="V17" s="3">
        <v>0.41875000000000001</v>
      </c>
      <c r="W17" s="4">
        <f t="shared" si="0"/>
        <v>5.4166666666666696E-2</v>
      </c>
      <c r="X17" s="6">
        <v>16</v>
      </c>
    </row>
    <row r="18" spans="1:24" ht="15.75" customHeight="1" x14ac:dyDescent="0.15">
      <c r="A18" s="2" t="s">
        <v>26</v>
      </c>
      <c r="B18" s="3">
        <f ca="1">IFERROR(__xludf.DUMMYFUNCTION("SPLIT(A18,"" "")"),0.375)</f>
        <v>0.375</v>
      </c>
      <c r="C18" s="3">
        <f ca="1">IFERROR(__xludf.DUMMYFUNCTION("""COMPUTED_VALUE"""),0.382638888888888)</f>
        <v>0.38263888888888797</v>
      </c>
      <c r="D18" s="3">
        <f ca="1">IFERROR(__xludf.DUMMYFUNCTION("""COMPUTED_VALUE"""),0.388194444444444)</f>
        <v>0.38819444444444401</v>
      </c>
      <c r="E18" s="3">
        <f ca="1">IFERROR(__xludf.DUMMYFUNCTION("""COMPUTED_VALUE"""),0.39375)</f>
        <v>0.39374999999999999</v>
      </c>
      <c r="F18" s="3">
        <f ca="1">IFERROR(__xludf.DUMMYFUNCTION("""COMPUTED_VALUE"""),0.402083333333333)</f>
        <v>0.40208333333333302</v>
      </c>
      <c r="G18" s="3">
        <f ca="1">IFERROR(__xludf.DUMMYFUNCTION("""COMPUTED_VALUE"""),0.409027777777777)</f>
        <v>0.40902777777777699</v>
      </c>
      <c r="H18" s="3">
        <f ca="1">IFERROR(__xludf.DUMMYFUNCTION("""COMPUTED_VALUE"""),0.416666666666666)</f>
        <v>0.41666666666666602</v>
      </c>
      <c r="I18" s="3">
        <f ca="1">IFERROR(__xludf.DUMMYFUNCTION("""COMPUTED_VALUE"""),0.422916666666666)</f>
        <v>0.422916666666666</v>
      </c>
      <c r="J18" s="3">
        <f ca="1">IFERROR(__xludf.DUMMYFUNCTION("""COMPUTED_VALUE"""),0.427777777777777)</f>
        <v>0.42777777777777698</v>
      </c>
      <c r="K18" s="3">
        <f ca="1">IFERROR(__xludf.DUMMYFUNCTION("""COMPUTED_VALUE"""),0.429166666666666)</f>
        <v>0.42916666666666597</v>
      </c>
      <c r="M18" s="3">
        <v>0.375</v>
      </c>
      <c r="N18" s="3">
        <v>0.38263888888888886</v>
      </c>
      <c r="O18" s="3">
        <v>0.38819444444444445</v>
      </c>
      <c r="P18" s="3">
        <v>0.39374999999999999</v>
      </c>
      <c r="Q18" s="3">
        <v>0.40208333333333335</v>
      </c>
      <c r="R18" s="3">
        <v>0.40902777777777777</v>
      </c>
      <c r="S18" s="3">
        <v>0.41666666666666669</v>
      </c>
      <c r="T18" s="3">
        <v>0.42291666666666666</v>
      </c>
      <c r="U18" s="3">
        <v>0.42777777777777776</v>
      </c>
      <c r="V18" s="3">
        <v>0.42916666666666664</v>
      </c>
      <c r="W18" s="4">
        <f t="shared" si="0"/>
        <v>5.4166666666666641E-2</v>
      </c>
      <c r="X18" s="6">
        <v>17</v>
      </c>
    </row>
    <row r="19" spans="1:24" ht="15.75" customHeight="1" x14ac:dyDescent="0.15">
      <c r="A19" s="2" t="s">
        <v>27</v>
      </c>
      <c r="B19" s="3">
        <f ca="1">IFERROR(__xludf.DUMMYFUNCTION("SPLIT(A19,"" "")"),0.385416666666666)</f>
        <v>0.38541666666666602</v>
      </c>
      <c r="C19" s="3">
        <f ca="1">IFERROR(__xludf.DUMMYFUNCTION("""COMPUTED_VALUE"""),0.393055555555555)</f>
        <v>0.39305555555555499</v>
      </c>
      <c r="D19" s="3">
        <f ca="1">IFERROR(__xludf.DUMMYFUNCTION("""COMPUTED_VALUE"""),0.398611111111111)</f>
        <v>0.39861111111111103</v>
      </c>
      <c r="E19" s="3">
        <f ca="1">IFERROR(__xludf.DUMMYFUNCTION("""COMPUTED_VALUE"""),0.404166666666666)</f>
        <v>0.40416666666666601</v>
      </c>
      <c r="F19" s="3">
        <f ca="1">IFERROR(__xludf.DUMMYFUNCTION("""COMPUTED_VALUE"""),0.4125)</f>
        <v>0.41249999999999998</v>
      </c>
      <c r="G19" s="3">
        <f ca="1">IFERROR(__xludf.DUMMYFUNCTION("""COMPUTED_VALUE"""),0.419444444444444)</f>
        <v>0.41944444444444401</v>
      </c>
      <c r="H19" s="3">
        <f ca="1">IFERROR(__xludf.DUMMYFUNCTION("""COMPUTED_VALUE"""),0.427083333333333)</f>
        <v>0.42708333333333298</v>
      </c>
      <c r="I19" s="3">
        <f ca="1">IFERROR(__xludf.DUMMYFUNCTION("""COMPUTED_VALUE"""),0.433333333333333)</f>
        <v>0.43333333333333302</v>
      </c>
      <c r="J19" s="3">
        <f ca="1">IFERROR(__xludf.DUMMYFUNCTION("""COMPUTED_VALUE"""),0.438194444444444)</f>
        <v>0.438194444444444</v>
      </c>
      <c r="K19" s="3">
        <f ca="1">IFERROR(__xludf.DUMMYFUNCTION("""COMPUTED_VALUE"""),0.439583333333333)</f>
        <v>0.43958333333333299</v>
      </c>
      <c r="M19" s="3">
        <v>0.38541666666666669</v>
      </c>
      <c r="N19" s="3">
        <v>0.39305555555555555</v>
      </c>
      <c r="O19" s="3">
        <v>0.39861111111111114</v>
      </c>
      <c r="P19" s="3">
        <v>0.40416666666666667</v>
      </c>
      <c r="Q19" s="3">
        <v>0.41249999999999998</v>
      </c>
      <c r="R19" s="3">
        <v>0.41944444444444445</v>
      </c>
      <c r="S19" s="3">
        <v>0.42708333333333331</v>
      </c>
      <c r="T19" s="3">
        <v>0.43333333333333335</v>
      </c>
      <c r="U19" s="3">
        <v>0.43819444444444444</v>
      </c>
      <c r="V19" s="3">
        <v>0.43958333333333333</v>
      </c>
      <c r="W19" s="4">
        <f t="shared" si="0"/>
        <v>5.4166666666666641E-2</v>
      </c>
      <c r="X19" s="6">
        <v>18</v>
      </c>
    </row>
    <row r="20" spans="1:24" ht="15.75" customHeight="1" x14ac:dyDescent="0.15">
      <c r="A20" s="2" t="s">
        <v>28</v>
      </c>
      <c r="B20" s="3">
        <f ca="1">IFERROR(__xludf.DUMMYFUNCTION("SPLIT(A20,"" "")"),0.390277777777777)</f>
        <v>0.390277777777777</v>
      </c>
      <c r="C20" s="3">
        <f ca="1">IFERROR(__xludf.DUMMYFUNCTION("""COMPUTED_VALUE"""),0.397916666666666)</f>
        <v>0.39791666666666597</v>
      </c>
      <c r="D20" s="3">
        <f ca="1">IFERROR(__xludf.DUMMYFUNCTION("""COMPUTED_VALUE"""),0.403472222222222)</f>
        <v>0.40347222222222201</v>
      </c>
      <c r="E20" s="3">
        <f ca="1">IFERROR(__xludf.DUMMYFUNCTION("""COMPUTED_VALUE"""),0.409027777777777)</f>
        <v>0.40902777777777699</v>
      </c>
      <c r="F20" s="3">
        <f ca="1">IFERROR(__xludf.DUMMYFUNCTION("""COMPUTED_VALUE"""),0.417361111111111)</f>
        <v>0.41736111111111102</v>
      </c>
      <c r="G20" s="3">
        <f ca="1">IFERROR(__xludf.DUMMYFUNCTION("""COMPUTED_VALUE"""),0.424305555555555)</f>
        <v>0.42430555555555499</v>
      </c>
      <c r="H20" s="3">
        <f ca="1">IFERROR(__xludf.DUMMYFUNCTION("""COMPUTED_VALUE"""),0.431944444444444)</f>
        <v>0.43194444444444402</v>
      </c>
      <c r="I20" s="3">
        <f ca="1">IFERROR(__xludf.DUMMYFUNCTION("""COMPUTED_VALUE"""),0.438194444444444)</f>
        <v>0.438194444444444</v>
      </c>
      <c r="J20" s="3">
        <f ca="1">IFERROR(__xludf.DUMMYFUNCTION("""COMPUTED_VALUE"""),0.443055555555555)</f>
        <v>0.44305555555555498</v>
      </c>
      <c r="K20" s="3">
        <f ca="1">IFERROR(__xludf.DUMMYFUNCTION("""COMPUTED_VALUE"""),0.444444444444444)</f>
        <v>0.44444444444444398</v>
      </c>
      <c r="M20" s="3">
        <v>0.39027777777777778</v>
      </c>
      <c r="N20" s="3">
        <v>0.39791666666666664</v>
      </c>
      <c r="O20" s="3">
        <v>0.40347222222222223</v>
      </c>
      <c r="P20" s="3">
        <v>0.40902777777777777</v>
      </c>
      <c r="Q20" s="3">
        <v>0.41736111111111113</v>
      </c>
      <c r="R20" s="3">
        <v>0.42430555555555555</v>
      </c>
      <c r="S20" s="3">
        <v>0.43194444444444446</v>
      </c>
      <c r="T20" s="3">
        <v>0.43819444444444444</v>
      </c>
      <c r="U20" s="3">
        <v>0.44305555555555554</v>
      </c>
      <c r="V20" s="3">
        <v>0.44444444444444442</v>
      </c>
      <c r="W20" s="4">
        <f t="shared" si="0"/>
        <v>5.4166666666666641E-2</v>
      </c>
      <c r="X20" s="6">
        <v>19</v>
      </c>
    </row>
    <row r="21" spans="1:24" ht="15.75" customHeight="1" x14ac:dyDescent="0.15">
      <c r="A21" s="2" t="s">
        <v>29</v>
      </c>
      <c r="B21" s="3">
        <f ca="1">IFERROR(__xludf.DUMMYFUNCTION("SPLIT(A21,"" "")"),0.400694444444444)</f>
        <v>0.40069444444444402</v>
      </c>
      <c r="C21" s="3">
        <f ca="1">IFERROR(__xludf.DUMMYFUNCTION("""COMPUTED_VALUE"""),0.408333333333333)</f>
        <v>0.40833333333333299</v>
      </c>
      <c r="D21" s="3">
        <f ca="1">IFERROR(__xludf.DUMMYFUNCTION("""COMPUTED_VALUE"""),0.413888888888888)</f>
        <v>0.41388888888888797</v>
      </c>
      <c r="E21" s="3">
        <f ca="1">IFERROR(__xludf.DUMMYFUNCTION("""COMPUTED_VALUE"""),0.419444444444444)</f>
        <v>0.41944444444444401</v>
      </c>
      <c r="F21" s="3">
        <f ca="1">IFERROR(__xludf.DUMMYFUNCTION("""COMPUTED_VALUE"""),0.427777777777777)</f>
        <v>0.42777777777777698</v>
      </c>
      <c r="G21" s="3">
        <f ca="1">IFERROR(__xludf.DUMMYFUNCTION("""COMPUTED_VALUE"""),0.434722222222222)</f>
        <v>0.43472222222222201</v>
      </c>
      <c r="H21" s="3">
        <f ca="1">IFERROR(__xludf.DUMMYFUNCTION("""COMPUTED_VALUE"""),0.442361111111111)</f>
        <v>0.44236111111111098</v>
      </c>
      <c r="I21" s="3">
        <f ca="1">IFERROR(__xludf.DUMMYFUNCTION("""COMPUTED_VALUE"""),0.448611111111111)</f>
        <v>0.44861111111111102</v>
      </c>
      <c r="J21" s="3">
        <f ca="1">IFERROR(__xludf.DUMMYFUNCTION("""COMPUTED_VALUE"""),0.453472222222222)</f>
        <v>0.453472222222222</v>
      </c>
      <c r="K21" s="3">
        <f ca="1">IFERROR(__xludf.DUMMYFUNCTION("""COMPUTED_VALUE"""),0.454861111111111)</f>
        <v>0.45486111111111099</v>
      </c>
      <c r="M21" s="3">
        <v>0.40069444444444446</v>
      </c>
      <c r="N21" s="3">
        <v>0.40833333333333333</v>
      </c>
      <c r="O21" s="3">
        <v>0.41388888888888886</v>
      </c>
      <c r="P21" s="3">
        <v>0.41944444444444445</v>
      </c>
      <c r="Q21" s="3">
        <v>0.42777777777777776</v>
      </c>
      <c r="R21" s="3">
        <v>0.43472222222222223</v>
      </c>
      <c r="S21" s="3">
        <v>0.44236111111111109</v>
      </c>
      <c r="T21" s="3">
        <v>0.44861111111111113</v>
      </c>
      <c r="U21" s="3">
        <v>0.45347222222222222</v>
      </c>
      <c r="V21" s="3">
        <v>0.4548611111111111</v>
      </c>
      <c r="W21" s="4">
        <f t="shared" si="0"/>
        <v>5.4166666666666641E-2</v>
      </c>
      <c r="X21" s="6">
        <v>20</v>
      </c>
    </row>
    <row r="22" spans="1:24" ht="15.75" customHeight="1" x14ac:dyDescent="0.15">
      <c r="A22" s="2" t="s">
        <v>30</v>
      </c>
      <c r="B22" s="3">
        <f ca="1">IFERROR(__xludf.DUMMYFUNCTION("SPLIT(A22,"" "")"),0.411111111111111)</f>
        <v>0.41111111111111098</v>
      </c>
      <c r="C22" s="3">
        <f ca="1">IFERROR(__xludf.DUMMYFUNCTION("""COMPUTED_VALUE"""),0.41875)</f>
        <v>0.41875000000000001</v>
      </c>
      <c r="D22" s="3">
        <f ca="1">IFERROR(__xludf.DUMMYFUNCTION("""COMPUTED_VALUE"""),0.424305555555555)</f>
        <v>0.42430555555555499</v>
      </c>
      <c r="E22" s="3">
        <f ca="1">IFERROR(__xludf.DUMMYFUNCTION("""COMPUTED_VALUE"""),0.429861111111111)</f>
        <v>0.42986111111111103</v>
      </c>
      <c r="F22" s="3">
        <f ca="1">IFERROR(__xludf.DUMMYFUNCTION("""COMPUTED_VALUE"""),0.438194444444444)</f>
        <v>0.438194444444444</v>
      </c>
      <c r="G22" s="3">
        <f ca="1">IFERROR(__xludf.DUMMYFUNCTION("""COMPUTED_VALUE"""),0.445138888888888)</f>
        <v>0.44513888888888797</v>
      </c>
      <c r="H22" s="3">
        <f ca="1">IFERROR(__xludf.DUMMYFUNCTION("""COMPUTED_VALUE"""),0.452777777777777)</f>
        <v>0.452777777777777</v>
      </c>
      <c r="I22" s="3">
        <f ca="1">IFERROR(__xludf.DUMMYFUNCTION("""COMPUTED_VALUE"""),0.459027777777777)</f>
        <v>0.45902777777777698</v>
      </c>
      <c r="J22" s="3">
        <f ca="1">IFERROR(__xludf.DUMMYFUNCTION("""COMPUTED_VALUE"""),0.463888888888888)</f>
        <v>0.46388888888888802</v>
      </c>
      <c r="K22" s="3">
        <f ca="1">IFERROR(__xludf.DUMMYFUNCTION("""COMPUTED_VALUE"""),0.465277777777777)</f>
        <v>0.46527777777777701</v>
      </c>
      <c r="M22" s="3">
        <v>0.41111111111111109</v>
      </c>
      <c r="N22" s="3">
        <v>0.41875000000000001</v>
      </c>
      <c r="O22" s="3">
        <v>0.42430555555555555</v>
      </c>
      <c r="P22" s="3">
        <v>0.42986111111111114</v>
      </c>
      <c r="Q22" s="3">
        <v>0.43819444444444444</v>
      </c>
      <c r="R22" s="3">
        <v>0.44513888888888886</v>
      </c>
      <c r="S22" s="3">
        <v>0.45277777777777778</v>
      </c>
      <c r="T22" s="3">
        <v>0.45902777777777776</v>
      </c>
      <c r="U22" s="3">
        <v>0.46388888888888891</v>
      </c>
      <c r="V22" s="3">
        <v>0.46527777777777779</v>
      </c>
      <c r="W22" s="4">
        <f t="shared" si="0"/>
        <v>5.4166666666666696E-2</v>
      </c>
      <c r="X22" s="6">
        <v>21</v>
      </c>
    </row>
    <row r="23" spans="1:24" ht="15.75" customHeight="1" x14ac:dyDescent="0.15">
      <c r="A23" s="2" t="s">
        <v>31</v>
      </c>
      <c r="B23" s="3">
        <f ca="1">IFERROR(__xludf.DUMMYFUNCTION("SPLIT(A23,"" "")"),0.421527777777777)</f>
        <v>0.421527777777777</v>
      </c>
      <c r="C23" s="3">
        <f ca="1">IFERROR(__xludf.DUMMYFUNCTION("""COMPUTED_VALUE"""),0.429166666666666)</f>
        <v>0.42916666666666597</v>
      </c>
      <c r="D23" s="3">
        <f ca="1">IFERROR(__xludf.DUMMYFUNCTION("""COMPUTED_VALUE"""),0.434722222222222)</f>
        <v>0.43472222222222201</v>
      </c>
      <c r="E23" s="3">
        <f ca="1">IFERROR(__xludf.DUMMYFUNCTION("""COMPUTED_VALUE"""),0.440277777777777)</f>
        <v>0.44027777777777699</v>
      </c>
      <c r="F23" s="3">
        <f ca="1">IFERROR(__xludf.DUMMYFUNCTION("""COMPUTED_VALUE"""),0.448611111111111)</f>
        <v>0.44861111111111102</v>
      </c>
      <c r="G23" s="3">
        <f ca="1">IFERROR(__xludf.DUMMYFUNCTION("""COMPUTED_VALUE"""),0.455555555555555)</f>
        <v>0.45555555555555499</v>
      </c>
      <c r="H23" s="3">
        <f ca="1">IFERROR(__xludf.DUMMYFUNCTION("""COMPUTED_VALUE"""),0.463194444444444)</f>
        <v>0.46319444444444402</v>
      </c>
      <c r="I23" s="3">
        <f ca="1">IFERROR(__xludf.DUMMYFUNCTION("""COMPUTED_VALUE"""),0.469444444444444)</f>
        <v>0.469444444444444</v>
      </c>
      <c r="J23" s="3">
        <f ca="1">IFERROR(__xludf.DUMMYFUNCTION("""COMPUTED_VALUE"""),0.474305555555555)</f>
        <v>0.47430555555555498</v>
      </c>
      <c r="K23" s="3">
        <f ca="1">IFERROR(__xludf.DUMMYFUNCTION("""COMPUTED_VALUE"""),0.475694444444444)</f>
        <v>0.47569444444444398</v>
      </c>
      <c r="M23" s="3">
        <v>0.42152777777777778</v>
      </c>
      <c r="N23" s="3">
        <v>0.42916666666666664</v>
      </c>
      <c r="O23" s="3">
        <v>0.43472222222222223</v>
      </c>
      <c r="P23" s="3">
        <v>0.44027777777777777</v>
      </c>
      <c r="Q23" s="3">
        <v>0.44861111111111113</v>
      </c>
      <c r="R23" s="3">
        <v>0.45555555555555555</v>
      </c>
      <c r="S23" s="3">
        <v>0.46319444444444446</v>
      </c>
      <c r="T23" s="3">
        <v>0.46944444444444444</v>
      </c>
      <c r="U23" s="3">
        <v>0.47430555555555554</v>
      </c>
      <c r="V23" s="3">
        <v>0.47569444444444442</v>
      </c>
      <c r="W23" s="4">
        <f t="shared" si="0"/>
        <v>5.4166666666666641E-2</v>
      </c>
      <c r="X23" s="6">
        <v>22</v>
      </c>
    </row>
    <row r="24" spans="1:24" ht="15.75" customHeight="1" x14ac:dyDescent="0.15">
      <c r="A24" s="2" t="s">
        <v>32</v>
      </c>
      <c r="B24" s="3">
        <f ca="1">IFERROR(__xludf.DUMMYFUNCTION("SPLIT(A24,"" "")"),0.431944444444444)</f>
        <v>0.43194444444444402</v>
      </c>
      <c r="C24" s="3">
        <f ca="1">IFERROR(__xludf.DUMMYFUNCTION("""COMPUTED_VALUE"""),0.439583333333333)</f>
        <v>0.43958333333333299</v>
      </c>
      <c r="D24" s="3">
        <f ca="1">IFERROR(__xludf.DUMMYFUNCTION("""COMPUTED_VALUE"""),0.445138888888888)</f>
        <v>0.44513888888888797</v>
      </c>
      <c r="E24" s="3">
        <f ca="1">IFERROR(__xludf.DUMMYFUNCTION("""COMPUTED_VALUE"""),0.450694444444444)</f>
        <v>0.45069444444444401</v>
      </c>
      <c r="F24" s="3">
        <f ca="1">IFERROR(__xludf.DUMMYFUNCTION("""COMPUTED_VALUE"""),0.459027777777777)</f>
        <v>0.45902777777777698</v>
      </c>
      <c r="G24" s="3">
        <f ca="1">IFERROR(__xludf.DUMMYFUNCTION("""COMPUTED_VALUE"""),0.465972222222222)</f>
        <v>0.46597222222222201</v>
      </c>
      <c r="H24" s="3">
        <f ca="1">IFERROR(__xludf.DUMMYFUNCTION("""COMPUTED_VALUE"""),0.473611111111111)</f>
        <v>0.47361111111111098</v>
      </c>
      <c r="I24" s="3">
        <f ca="1">IFERROR(__xludf.DUMMYFUNCTION("""COMPUTED_VALUE"""),0.479861111111111)</f>
        <v>0.47986111111111102</v>
      </c>
      <c r="J24" s="3">
        <f ca="1">IFERROR(__xludf.DUMMYFUNCTION("""COMPUTED_VALUE"""),0.484722222222222)</f>
        <v>0.484722222222222</v>
      </c>
      <c r="K24" s="3">
        <f ca="1">IFERROR(__xludf.DUMMYFUNCTION("""COMPUTED_VALUE"""),0.486111111111111)</f>
        <v>0.48611111111111099</v>
      </c>
      <c r="M24" s="3">
        <v>0.43194444444444446</v>
      </c>
      <c r="N24" s="3">
        <v>0.43958333333333333</v>
      </c>
      <c r="O24" s="3">
        <v>0.44513888888888886</v>
      </c>
      <c r="P24" s="3">
        <v>0.45069444444444445</v>
      </c>
      <c r="Q24" s="3">
        <v>0.45902777777777776</v>
      </c>
      <c r="R24" s="3">
        <v>0.46597222222222223</v>
      </c>
      <c r="S24" s="3">
        <v>0.47361111111111109</v>
      </c>
      <c r="T24" s="3">
        <v>0.47986111111111113</v>
      </c>
      <c r="U24" s="3">
        <v>0.48472222222222222</v>
      </c>
      <c r="V24" s="3">
        <v>0.4861111111111111</v>
      </c>
      <c r="W24" s="4">
        <f t="shared" si="0"/>
        <v>5.4166666666666641E-2</v>
      </c>
      <c r="X24" s="6">
        <v>23</v>
      </c>
    </row>
    <row r="25" spans="1:24" ht="15.75" customHeight="1" x14ac:dyDescent="0.15">
      <c r="A25" s="2" t="s">
        <v>33</v>
      </c>
      <c r="B25" s="3">
        <f ca="1">IFERROR(__xludf.DUMMYFUNCTION("SPLIT(A25,"" "")"),0.442361111111111)</f>
        <v>0.44236111111111098</v>
      </c>
      <c r="C25" s="3">
        <f ca="1">IFERROR(__xludf.DUMMYFUNCTION("""COMPUTED_VALUE"""),0.45)</f>
        <v>0.45</v>
      </c>
      <c r="D25" s="3">
        <f ca="1">IFERROR(__xludf.DUMMYFUNCTION("""COMPUTED_VALUE"""),0.455555555555555)</f>
        <v>0.45555555555555499</v>
      </c>
      <c r="E25" s="3">
        <f ca="1">IFERROR(__xludf.DUMMYFUNCTION("""COMPUTED_VALUE"""),0.461111111111111)</f>
        <v>0.46111111111111103</v>
      </c>
      <c r="F25" s="3">
        <f ca="1">IFERROR(__xludf.DUMMYFUNCTION("""COMPUTED_VALUE"""),0.469444444444444)</f>
        <v>0.469444444444444</v>
      </c>
      <c r="G25" s="3">
        <f ca="1">IFERROR(__xludf.DUMMYFUNCTION("""COMPUTED_VALUE"""),0.476388888888888)</f>
        <v>0.47638888888888797</v>
      </c>
      <c r="H25" s="3">
        <f ca="1">IFERROR(__xludf.DUMMYFUNCTION("""COMPUTED_VALUE"""),0.484027777777777)</f>
        <v>0.484027777777777</v>
      </c>
      <c r="I25" s="3">
        <f ca="1">IFERROR(__xludf.DUMMYFUNCTION("""COMPUTED_VALUE"""),0.490277777777777)</f>
        <v>0.49027777777777698</v>
      </c>
      <c r="J25" s="3">
        <f ca="1">IFERROR(__xludf.DUMMYFUNCTION("""COMPUTED_VALUE"""),0.495138888888888)</f>
        <v>0.49513888888888802</v>
      </c>
      <c r="K25" s="3">
        <f ca="1">IFERROR(__xludf.DUMMYFUNCTION("""COMPUTED_VALUE"""),0.496527777777777)</f>
        <v>0.49652777777777701</v>
      </c>
      <c r="M25" s="3">
        <v>0.44236111111111109</v>
      </c>
      <c r="N25" s="3">
        <v>0.45</v>
      </c>
      <c r="O25" s="3">
        <v>0.45555555555555555</v>
      </c>
      <c r="P25" s="3">
        <v>0.46111111111111114</v>
      </c>
      <c r="Q25" s="3">
        <v>0.46944444444444444</v>
      </c>
      <c r="R25" s="3">
        <v>0.47638888888888886</v>
      </c>
      <c r="S25" s="3">
        <v>0.48402777777777778</v>
      </c>
      <c r="T25" s="3">
        <v>0.49027777777777776</v>
      </c>
      <c r="U25" s="3">
        <v>0.49513888888888891</v>
      </c>
      <c r="V25" s="3">
        <v>0.49652777777777779</v>
      </c>
      <c r="W25" s="4">
        <f t="shared" si="0"/>
        <v>5.4166666666666696E-2</v>
      </c>
      <c r="X25" s="6">
        <v>24</v>
      </c>
    </row>
    <row r="26" spans="1:24" ht="15.75" customHeight="1" x14ac:dyDescent="0.15">
      <c r="A26" s="2" t="s">
        <v>34</v>
      </c>
      <c r="B26" s="3">
        <f ca="1">IFERROR(__xludf.DUMMYFUNCTION("SPLIT(A26,"" "")"),0.452777777777777)</f>
        <v>0.452777777777777</v>
      </c>
      <c r="C26" s="3">
        <f ca="1">IFERROR(__xludf.DUMMYFUNCTION("""COMPUTED_VALUE"""),0.460416666666666)</f>
        <v>0.46041666666666597</v>
      </c>
      <c r="D26" s="3">
        <f ca="1">IFERROR(__xludf.DUMMYFUNCTION("""COMPUTED_VALUE"""),0.465972222222222)</f>
        <v>0.46597222222222201</v>
      </c>
      <c r="E26" s="3">
        <f ca="1">IFERROR(__xludf.DUMMYFUNCTION("""COMPUTED_VALUE"""),0.471527777777777)</f>
        <v>0.47152777777777699</v>
      </c>
      <c r="F26" s="3">
        <f ca="1">IFERROR(__xludf.DUMMYFUNCTION("""COMPUTED_VALUE"""),0.479861111111111)</f>
        <v>0.47986111111111102</v>
      </c>
      <c r="G26" s="3">
        <f ca="1">IFERROR(__xludf.DUMMYFUNCTION("""COMPUTED_VALUE"""),0.486805555555555)</f>
        <v>0.48680555555555499</v>
      </c>
      <c r="H26" s="3">
        <f ca="1">IFERROR(__xludf.DUMMYFUNCTION("""COMPUTED_VALUE"""),0.494444444444444)</f>
        <v>0.49444444444444402</v>
      </c>
      <c r="I26" s="3">
        <f ca="1">IFERROR(__xludf.DUMMYFUNCTION("""COMPUTED_VALUE"""),0.500694444444444)</f>
        <v>0.500694444444444</v>
      </c>
      <c r="J26" s="3">
        <f ca="1">IFERROR(__xludf.DUMMYFUNCTION("""COMPUTED_VALUE"""),0.505555555555555)</f>
        <v>0.50555555555555498</v>
      </c>
      <c r="K26" s="3">
        <f ca="1">IFERROR(__xludf.DUMMYFUNCTION("""COMPUTED_VALUE"""),0.506944444444444)</f>
        <v>0.50694444444444398</v>
      </c>
      <c r="M26" s="3">
        <v>0.45277777777777778</v>
      </c>
      <c r="N26" s="3">
        <v>0.46041666666666664</v>
      </c>
      <c r="O26" s="3">
        <v>0.46597222222222223</v>
      </c>
      <c r="P26" s="3">
        <v>0.47152777777777777</v>
      </c>
      <c r="Q26" s="3">
        <v>0.47986111111111113</v>
      </c>
      <c r="R26" s="3">
        <v>0.48680555555555555</v>
      </c>
      <c r="S26" s="3">
        <v>0.49444444444444446</v>
      </c>
      <c r="T26" s="3">
        <v>0.50069444444444444</v>
      </c>
      <c r="U26" s="3">
        <v>0.50555555555555554</v>
      </c>
      <c r="V26" s="3">
        <v>0.50694444444444442</v>
      </c>
      <c r="W26" s="4">
        <f t="shared" si="0"/>
        <v>5.4166666666666641E-2</v>
      </c>
      <c r="X26" s="6">
        <v>25</v>
      </c>
    </row>
    <row r="27" spans="1:24" ht="15.75" customHeight="1" x14ac:dyDescent="0.15">
      <c r="A27" s="2" t="s">
        <v>35</v>
      </c>
      <c r="B27" s="3">
        <f ca="1">IFERROR(__xludf.DUMMYFUNCTION("SPLIT(A27,"" "")"),0.463194444444444)</f>
        <v>0.46319444444444402</v>
      </c>
      <c r="C27" s="3">
        <f ca="1">IFERROR(__xludf.DUMMYFUNCTION("""COMPUTED_VALUE"""),0.470833333333333)</f>
        <v>0.47083333333333299</v>
      </c>
      <c r="D27" s="3">
        <f ca="1">IFERROR(__xludf.DUMMYFUNCTION("""COMPUTED_VALUE"""),0.476388888888888)</f>
        <v>0.47638888888888797</v>
      </c>
      <c r="E27" s="3">
        <f ca="1">IFERROR(__xludf.DUMMYFUNCTION("""COMPUTED_VALUE"""),0.481944444444444)</f>
        <v>0.48194444444444401</v>
      </c>
      <c r="F27" s="3">
        <f ca="1">IFERROR(__xludf.DUMMYFUNCTION("""COMPUTED_VALUE"""),0.490277777777777)</f>
        <v>0.49027777777777698</v>
      </c>
      <c r="G27" s="3">
        <f ca="1">IFERROR(__xludf.DUMMYFUNCTION("""COMPUTED_VALUE"""),0.497222222222222)</f>
        <v>0.49722222222222201</v>
      </c>
      <c r="H27" s="3">
        <f ca="1">IFERROR(__xludf.DUMMYFUNCTION("""COMPUTED_VALUE"""),0.504861111111111)</f>
        <v>0.50486111111111098</v>
      </c>
      <c r="I27" s="3">
        <f ca="1">IFERROR(__xludf.DUMMYFUNCTION("""COMPUTED_VALUE"""),0.511111111111111)</f>
        <v>0.51111111111111096</v>
      </c>
      <c r="J27" s="3">
        <f ca="1">IFERROR(__xludf.DUMMYFUNCTION("""COMPUTED_VALUE"""),0.515972222222222)</f>
        <v>0.51597222222222205</v>
      </c>
      <c r="K27" s="3">
        <f ca="1">IFERROR(__xludf.DUMMYFUNCTION("""COMPUTED_VALUE"""),0.517361111111111)</f>
        <v>0.51736111111111105</v>
      </c>
      <c r="M27" s="3">
        <v>0.46319444444444446</v>
      </c>
      <c r="N27" s="3">
        <v>0.47083333333333333</v>
      </c>
      <c r="O27" s="3">
        <v>0.47638888888888886</v>
      </c>
      <c r="P27" s="3">
        <v>0.48194444444444445</v>
      </c>
      <c r="Q27" s="3">
        <v>0.49027777777777776</v>
      </c>
      <c r="R27" s="3">
        <v>0.49722222222222223</v>
      </c>
      <c r="S27" s="3">
        <v>0.50486111111111109</v>
      </c>
      <c r="T27" s="3">
        <v>0.51111111111111107</v>
      </c>
      <c r="U27" s="3">
        <v>0.51597222222222228</v>
      </c>
      <c r="V27" s="3">
        <v>0.51736111111111116</v>
      </c>
      <c r="W27" s="4">
        <f t="shared" si="0"/>
        <v>5.4166666666666696E-2</v>
      </c>
      <c r="X27" s="6">
        <v>26</v>
      </c>
    </row>
    <row r="28" spans="1:24" ht="15.75" customHeight="1" x14ac:dyDescent="0.15">
      <c r="A28" s="2" t="s">
        <v>36</v>
      </c>
      <c r="B28" s="3">
        <f ca="1">IFERROR(__xludf.DUMMYFUNCTION("SPLIT(A28,"" "")"),0.473611111111111)</f>
        <v>0.47361111111111098</v>
      </c>
      <c r="C28" s="3">
        <f ca="1">IFERROR(__xludf.DUMMYFUNCTION("""COMPUTED_VALUE"""),0.48125)</f>
        <v>0.48125000000000001</v>
      </c>
      <c r="D28" s="3">
        <f ca="1">IFERROR(__xludf.DUMMYFUNCTION("""COMPUTED_VALUE"""),0.486805555555555)</f>
        <v>0.48680555555555499</v>
      </c>
      <c r="E28" s="3">
        <f ca="1">IFERROR(__xludf.DUMMYFUNCTION("""COMPUTED_VALUE"""),0.492361111111111)</f>
        <v>0.49236111111111103</v>
      </c>
      <c r="F28" s="3">
        <f ca="1">IFERROR(__xludf.DUMMYFUNCTION("""COMPUTED_VALUE"""),0.500694444444444)</f>
        <v>0.500694444444444</v>
      </c>
      <c r="G28" s="3">
        <f ca="1">IFERROR(__xludf.DUMMYFUNCTION("""COMPUTED_VALUE"""),0.507638888888888)</f>
        <v>0.50763888888888797</v>
      </c>
      <c r="H28" s="3">
        <f ca="1">IFERROR(__xludf.DUMMYFUNCTION("""COMPUTED_VALUE"""),0.515277777777777)</f>
        <v>0.51527777777777695</v>
      </c>
      <c r="I28" s="3">
        <f ca="1">IFERROR(__xludf.DUMMYFUNCTION("""COMPUTED_VALUE"""),0.521527777777777)</f>
        <v>0.52152777777777704</v>
      </c>
      <c r="J28" s="3">
        <f ca="1">IFERROR(__xludf.DUMMYFUNCTION("""COMPUTED_VALUE"""),0.526388888888888)</f>
        <v>0.52638888888888802</v>
      </c>
      <c r="K28" s="3">
        <f ca="1">IFERROR(__xludf.DUMMYFUNCTION("""COMPUTED_VALUE"""),0.527777777777777)</f>
        <v>0.52777777777777701</v>
      </c>
      <c r="M28" s="3">
        <v>0.47361111111111109</v>
      </c>
      <c r="N28" s="3">
        <v>0.48125000000000001</v>
      </c>
      <c r="O28" s="3">
        <v>0.48680555555555555</v>
      </c>
      <c r="P28" s="3">
        <v>0.49236111111111114</v>
      </c>
      <c r="Q28" s="3">
        <v>0.50069444444444444</v>
      </c>
      <c r="R28" s="3">
        <v>0.50763888888888886</v>
      </c>
      <c r="S28" s="3">
        <v>0.51527777777777772</v>
      </c>
      <c r="T28" s="3">
        <v>0.52152777777777781</v>
      </c>
      <c r="U28" s="3">
        <v>0.52638888888888891</v>
      </c>
      <c r="V28" s="3">
        <v>0.52777777777777779</v>
      </c>
      <c r="W28" s="4">
        <f t="shared" si="0"/>
        <v>5.4166666666666696E-2</v>
      </c>
      <c r="X28" s="6">
        <v>27</v>
      </c>
    </row>
    <row r="29" spans="1:24" ht="15.75" customHeight="1" x14ac:dyDescent="0.15">
      <c r="A29" s="2" t="s">
        <v>37</v>
      </c>
      <c r="B29" s="3">
        <f ca="1">IFERROR(__xludf.DUMMYFUNCTION("SPLIT(A29,"" "")"),0.484027777777777)</f>
        <v>0.484027777777777</v>
      </c>
      <c r="C29" s="3">
        <f ca="1">IFERROR(__xludf.DUMMYFUNCTION("""COMPUTED_VALUE"""),0.491666666666666)</f>
        <v>0.49166666666666597</v>
      </c>
      <c r="D29" s="3">
        <f ca="1">IFERROR(__xludf.DUMMYFUNCTION("""COMPUTED_VALUE"""),0.497222222222222)</f>
        <v>0.49722222222222201</v>
      </c>
      <c r="E29" s="3">
        <f ca="1">IFERROR(__xludf.DUMMYFUNCTION("""COMPUTED_VALUE"""),0.502777777777777)</f>
        <v>0.50277777777777699</v>
      </c>
      <c r="F29" s="3">
        <f ca="1">IFERROR(__xludf.DUMMYFUNCTION("""COMPUTED_VALUE"""),0.511111111111111)</f>
        <v>0.51111111111111096</v>
      </c>
      <c r="G29" s="3">
        <f ca="1">IFERROR(__xludf.DUMMYFUNCTION("""COMPUTED_VALUE"""),0.518055555555555)</f>
        <v>0.51805555555555505</v>
      </c>
      <c r="H29" s="3">
        <f ca="1">IFERROR(__xludf.DUMMYFUNCTION("""COMPUTED_VALUE"""),0.525694444444444)</f>
        <v>0.52569444444444402</v>
      </c>
      <c r="I29" s="3">
        <f ca="1">IFERROR(__xludf.DUMMYFUNCTION("""COMPUTED_VALUE"""),0.531944444444444)</f>
        <v>0.531944444444444</v>
      </c>
      <c r="J29" s="3">
        <f ca="1">IFERROR(__xludf.DUMMYFUNCTION("""COMPUTED_VALUE"""),0.536805555555555)</f>
        <v>0.53680555555555498</v>
      </c>
      <c r="K29" s="3">
        <f ca="1">IFERROR(__xludf.DUMMYFUNCTION("""COMPUTED_VALUE"""),0.538194444444444)</f>
        <v>0.53819444444444398</v>
      </c>
      <c r="M29" s="3">
        <v>0.48402777777777778</v>
      </c>
      <c r="N29" s="3">
        <v>0.49166666666666664</v>
      </c>
      <c r="O29" s="3">
        <v>0.49722222222222223</v>
      </c>
      <c r="P29" s="3">
        <v>0.50277777777777777</v>
      </c>
      <c r="Q29" s="3">
        <v>0.51111111111111107</v>
      </c>
      <c r="R29" s="3">
        <v>0.5180555555555556</v>
      </c>
      <c r="S29" s="3">
        <v>0.52569444444444446</v>
      </c>
      <c r="T29" s="3">
        <v>0.53194444444444444</v>
      </c>
      <c r="U29" s="3">
        <v>0.53680555555555554</v>
      </c>
      <c r="V29" s="3">
        <v>0.53819444444444442</v>
      </c>
      <c r="W29" s="4">
        <f t="shared" si="0"/>
        <v>5.4166666666666641E-2</v>
      </c>
      <c r="X29" s="6">
        <v>28</v>
      </c>
    </row>
    <row r="30" spans="1:24" ht="15.75" customHeight="1" x14ac:dyDescent="0.15">
      <c r="A30" s="2" t="s">
        <v>38</v>
      </c>
      <c r="B30" s="3">
        <f ca="1">IFERROR(__xludf.DUMMYFUNCTION("SPLIT(A30,"" "")"),0.494444444444444)</f>
        <v>0.49444444444444402</v>
      </c>
      <c r="C30" s="3">
        <f ca="1">IFERROR(__xludf.DUMMYFUNCTION("""COMPUTED_VALUE"""),0.502083333333333)</f>
        <v>0.50208333333333299</v>
      </c>
      <c r="D30" s="3">
        <f ca="1">IFERROR(__xludf.DUMMYFUNCTION("""COMPUTED_VALUE"""),0.507638888888888)</f>
        <v>0.50763888888888797</v>
      </c>
      <c r="E30" s="3">
        <f ca="1">IFERROR(__xludf.DUMMYFUNCTION("""COMPUTED_VALUE"""),0.513194444444444)</f>
        <v>0.51319444444444395</v>
      </c>
      <c r="F30" s="3">
        <f ca="1">IFERROR(__xludf.DUMMYFUNCTION("""COMPUTED_VALUE"""),0.521527777777777)</f>
        <v>0.52152777777777704</v>
      </c>
      <c r="G30" s="3">
        <f ca="1">IFERROR(__xludf.DUMMYFUNCTION("""COMPUTED_VALUE"""),0.528472222222222)</f>
        <v>0.52847222222222201</v>
      </c>
      <c r="H30" s="3">
        <f ca="1">IFERROR(__xludf.DUMMYFUNCTION("""COMPUTED_VALUE"""),0.536111111111111)</f>
        <v>0.53611111111111098</v>
      </c>
      <c r="I30" s="3">
        <f ca="1">IFERROR(__xludf.DUMMYFUNCTION("""COMPUTED_VALUE"""),0.0423611111111111)</f>
        <v>4.2361111111111099E-2</v>
      </c>
      <c r="J30" s="3">
        <f ca="1">IFERROR(__xludf.DUMMYFUNCTION("""COMPUTED_VALUE"""),0.0472222222222222)</f>
        <v>4.72222222222222E-2</v>
      </c>
      <c r="K30" s="3">
        <f ca="1">IFERROR(__xludf.DUMMYFUNCTION("""COMPUTED_VALUE"""),0.0486111111111111)</f>
        <v>4.8611111111111098E-2</v>
      </c>
      <c r="M30" s="3">
        <v>0.49444444444444446</v>
      </c>
      <c r="N30" s="3">
        <v>0.50208333333333333</v>
      </c>
      <c r="O30" s="3">
        <v>0.50763888888888886</v>
      </c>
      <c r="P30" s="3">
        <v>0.5131944444444444</v>
      </c>
      <c r="Q30" s="3">
        <v>0.52152777777777781</v>
      </c>
      <c r="R30" s="3">
        <v>0.52847222222222223</v>
      </c>
      <c r="S30" s="3">
        <v>0.53611111111111109</v>
      </c>
      <c r="T30" s="3">
        <f t="shared" ref="T30:V30" ca="1" si="1">I30+0.5</f>
        <v>0.54236111111111107</v>
      </c>
      <c r="U30" s="3">
        <f t="shared" ca="1" si="1"/>
        <v>0.54722222222222217</v>
      </c>
      <c r="V30" s="3">
        <f t="shared" ca="1" si="1"/>
        <v>0.54861111111111105</v>
      </c>
      <c r="W30" s="4">
        <f t="shared" ca="1" si="0"/>
        <v>5.4166666666666585E-2</v>
      </c>
      <c r="X30" s="6">
        <v>29</v>
      </c>
    </row>
    <row r="31" spans="1:24" ht="15.75" customHeight="1" x14ac:dyDescent="0.15">
      <c r="A31" s="2" t="s">
        <v>39</v>
      </c>
      <c r="B31" s="3">
        <f ca="1">IFERROR(__xludf.DUMMYFUNCTION("SPLIT(A31,"" "")"),0.504861111111111)</f>
        <v>0.50486111111111098</v>
      </c>
      <c r="C31" s="3">
        <f ca="1">IFERROR(__xludf.DUMMYFUNCTION("""COMPUTED_VALUE"""),0.5125)</f>
        <v>0.51249999999999996</v>
      </c>
      <c r="D31" s="3">
        <f ca="1">IFERROR(__xludf.DUMMYFUNCTION("""COMPUTED_VALUE"""),0.518055555555555)</f>
        <v>0.51805555555555505</v>
      </c>
      <c r="E31" s="3">
        <f ca="1">IFERROR(__xludf.DUMMYFUNCTION("""COMPUTED_VALUE"""),0.523611111111111)</f>
        <v>0.52361111111111103</v>
      </c>
      <c r="F31" s="3">
        <f ca="1">IFERROR(__xludf.DUMMYFUNCTION("""COMPUTED_VALUE"""),0.531944444444444)</f>
        <v>0.531944444444444</v>
      </c>
      <c r="G31" s="3">
        <f ca="1">IFERROR(__xludf.DUMMYFUNCTION("""COMPUTED_VALUE"""),0.538888888888888)</f>
        <v>0.53888888888888797</v>
      </c>
      <c r="H31" s="3">
        <f ca="1">IFERROR(__xludf.DUMMYFUNCTION("""COMPUTED_VALUE"""),0.0465277777777777)</f>
        <v>4.6527777777777703E-2</v>
      </c>
      <c r="I31" s="3">
        <f ca="1">IFERROR(__xludf.DUMMYFUNCTION("""COMPUTED_VALUE"""),0.0527777777777777)</f>
        <v>5.2777777777777701E-2</v>
      </c>
      <c r="J31" s="3">
        <f ca="1">IFERROR(__xludf.DUMMYFUNCTION("""COMPUTED_VALUE"""),0.0576388888888888)</f>
        <v>5.7638888888888802E-2</v>
      </c>
      <c r="K31" s="3">
        <f ca="1">IFERROR(__xludf.DUMMYFUNCTION("""COMPUTED_VALUE"""),0.0590277777777777)</f>
        <v>5.90277777777777E-2</v>
      </c>
      <c r="M31" s="3">
        <v>0.50486111111111109</v>
      </c>
      <c r="N31" s="3">
        <v>0.51249999999999996</v>
      </c>
      <c r="O31" s="3">
        <v>0.5180555555555556</v>
      </c>
      <c r="P31" s="3">
        <v>0.52361111111111114</v>
      </c>
      <c r="Q31" s="3">
        <v>0.53194444444444444</v>
      </c>
      <c r="R31" s="3">
        <v>0.53888888888888886</v>
      </c>
      <c r="S31" s="3">
        <f t="shared" ref="S31:V31" ca="1" si="2">H31+0.5</f>
        <v>0.54652777777777772</v>
      </c>
      <c r="T31" s="3">
        <f t="shared" ca="1" si="2"/>
        <v>0.5527777777777777</v>
      </c>
      <c r="U31" s="3">
        <f t="shared" ca="1" si="2"/>
        <v>0.5576388888888888</v>
      </c>
      <c r="V31" s="3">
        <f t="shared" ca="1" si="2"/>
        <v>0.55902777777777768</v>
      </c>
      <c r="W31" s="4">
        <f t="shared" ca="1" si="0"/>
        <v>5.4166666666666585E-2</v>
      </c>
      <c r="X31" s="6">
        <v>30</v>
      </c>
    </row>
    <row r="32" spans="1:24" ht="15.75" customHeight="1" x14ac:dyDescent="0.15">
      <c r="A32" s="2" t="s">
        <v>40</v>
      </c>
      <c r="B32" s="3">
        <f ca="1">IFERROR(__xludf.DUMMYFUNCTION("SPLIT(A32,"" "")"),0.515277777777777)</f>
        <v>0.51527777777777695</v>
      </c>
      <c r="C32" s="3">
        <f ca="1">IFERROR(__xludf.DUMMYFUNCTION("""COMPUTED_VALUE"""),0.522916666666666)</f>
        <v>0.52291666666666603</v>
      </c>
      <c r="D32" s="3">
        <f ca="1">IFERROR(__xludf.DUMMYFUNCTION("""COMPUTED_VALUE"""),0.528472222222222)</f>
        <v>0.52847222222222201</v>
      </c>
      <c r="E32" s="3">
        <f ca="1">IFERROR(__xludf.DUMMYFUNCTION("""COMPUTED_VALUE"""),0.534027777777777)</f>
        <v>0.53402777777777699</v>
      </c>
      <c r="F32" s="3">
        <f ca="1">IFERROR(__xludf.DUMMYFUNCTION("""COMPUTED_VALUE"""),0.0423611111111111)</f>
        <v>4.2361111111111099E-2</v>
      </c>
      <c r="G32" s="3">
        <f ca="1">IFERROR(__xludf.DUMMYFUNCTION("""COMPUTED_VALUE"""),0.0493055555555555)</f>
        <v>4.9305555555555498E-2</v>
      </c>
      <c r="H32" s="3">
        <f ca="1">IFERROR(__xludf.DUMMYFUNCTION("""COMPUTED_VALUE"""),0.0569444444444444)</f>
        <v>5.6944444444444402E-2</v>
      </c>
      <c r="I32" s="3">
        <f ca="1">IFERROR(__xludf.DUMMYFUNCTION("""COMPUTED_VALUE"""),0.0631944444444444)</f>
        <v>6.31944444444444E-2</v>
      </c>
      <c r="J32" s="3">
        <f ca="1">IFERROR(__xludf.DUMMYFUNCTION("""COMPUTED_VALUE"""),0.0680555555555555)</f>
        <v>6.8055555555555494E-2</v>
      </c>
      <c r="K32" s="3">
        <f ca="1">IFERROR(__xludf.DUMMYFUNCTION("""COMPUTED_VALUE"""),0.0694444444444444)</f>
        <v>6.9444444444444406E-2</v>
      </c>
      <c r="M32" s="3">
        <v>0.51527777777777772</v>
      </c>
      <c r="N32" s="3">
        <v>0.5229166666666667</v>
      </c>
      <c r="O32" s="3">
        <v>0.52847222222222223</v>
      </c>
      <c r="P32" s="3">
        <v>0.53402777777777777</v>
      </c>
      <c r="Q32" s="3">
        <f t="shared" ref="Q32:V32" ca="1" si="3">F32+0.5</f>
        <v>0.54236111111111107</v>
      </c>
      <c r="R32" s="3">
        <f t="shared" ca="1" si="3"/>
        <v>0.54930555555555549</v>
      </c>
      <c r="S32" s="3">
        <f t="shared" ca="1" si="3"/>
        <v>0.55694444444444435</v>
      </c>
      <c r="T32" s="3">
        <f t="shared" ca="1" si="3"/>
        <v>0.56319444444444444</v>
      </c>
      <c r="U32" s="3">
        <f t="shared" ca="1" si="3"/>
        <v>0.56805555555555554</v>
      </c>
      <c r="V32" s="3">
        <f t="shared" ca="1" si="3"/>
        <v>0.56944444444444442</v>
      </c>
      <c r="W32" s="4">
        <f t="shared" ca="1" si="0"/>
        <v>5.4166666666666696E-2</v>
      </c>
      <c r="X32" s="6">
        <v>31</v>
      </c>
    </row>
    <row r="33" spans="1:24" ht="15.75" customHeight="1" x14ac:dyDescent="0.15">
      <c r="A33" s="2" t="s">
        <v>41</v>
      </c>
      <c r="B33" s="3">
        <f ca="1">IFERROR(__xludf.DUMMYFUNCTION("SPLIT(A33,"" "")"),0.525694444444444)</f>
        <v>0.52569444444444402</v>
      </c>
      <c r="C33" s="3">
        <f ca="1">IFERROR(__xludf.DUMMYFUNCTION("""COMPUTED_VALUE"""),0.533333333333333)</f>
        <v>0.53333333333333299</v>
      </c>
      <c r="D33" s="3">
        <f ca="1">IFERROR(__xludf.DUMMYFUNCTION("""COMPUTED_VALUE"""),0.538888888888888)</f>
        <v>0.53888888888888797</v>
      </c>
      <c r="E33" s="3">
        <f ca="1">IFERROR(__xludf.DUMMYFUNCTION("""COMPUTED_VALUE"""),0.0444444444444444)</f>
        <v>4.4444444444444398E-2</v>
      </c>
      <c r="F33" s="3">
        <f ca="1">IFERROR(__xludf.DUMMYFUNCTION("""COMPUTED_VALUE"""),0.0527777777777777)</f>
        <v>5.2777777777777701E-2</v>
      </c>
      <c r="G33" s="3">
        <f ca="1">IFERROR(__xludf.DUMMYFUNCTION("""COMPUTED_VALUE"""),0.0597222222222222)</f>
        <v>5.9722222222222197E-2</v>
      </c>
      <c r="H33" s="3">
        <f ca="1">IFERROR(__xludf.DUMMYFUNCTION("""COMPUTED_VALUE"""),0.0673611111111111)</f>
        <v>6.7361111111111094E-2</v>
      </c>
      <c r="I33" s="3">
        <f ca="1">IFERROR(__xludf.DUMMYFUNCTION("""COMPUTED_VALUE"""),0.0736111111111111)</f>
        <v>7.3611111111111099E-2</v>
      </c>
      <c r="J33" s="3">
        <f ca="1">IFERROR(__xludf.DUMMYFUNCTION("""COMPUTED_VALUE"""),0.0784722222222222)</f>
        <v>7.8472222222222193E-2</v>
      </c>
      <c r="K33" s="3">
        <f ca="1">IFERROR(__xludf.DUMMYFUNCTION("""COMPUTED_VALUE"""),0.0798611111111111)</f>
        <v>7.9861111111111105E-2</v>
      </c>
      <c r="M33" s="3">
        <v>0.52569444444444446</v>
      </c>
      <c r="N33" s="3">
        <v>0.53333333333333333</v>
      </c>
      <c r="O33" s="3">
        <v>0.53888888888888886</v>
      </c>
      <c r="P33" s="3">
        <f t="shared" ref="P33:V33" ca="1" si="4">E33+0.5</f>
        <v>0.5444444444444444</v>
      </c>
      <c r="Q33" s="3">
        <f t="shared" ca="1" si="4"/>
        <v>0.5527777777777777</v>
      </c>
      <c r="R33" s="3">
        <f t="shared" ca="1" si="4"/>
        <v>0.55972222222222223</v>
      </c>
      <c r="S33" s="3">
        <f t="shared" ca="1" si="4"/>
        <v>0.56736111111111109</v>
      </c>
      <c r="T33" s="3">
        <f t="shared" ca="1" si="4"/>
        <v>0.57361111111111107</v>
      </c>
      <c r="U33" s="3">
        <f t="shared" ca="1" si="4"/>
        <v>0.57847222222222217</v>
      </c>
      <c r="V33" s="3">
        <f t="shared" ca="1" si="4"/>
        <v>0.57986111111111116</v>
      </c>
      <c r="W33" s="4">
        <f t="shared" ca="1" si="0"/>
        <v>5.4166666666666696E-2</v>
      </c>
      <c r="X33" s="6">
        <v>32</v>
      </c>
    </row>
    <row r="34" spans="1:24" ht="15.75" customHeight="1" x14ac:dyDescent="0.15">
      <c r="A34" s="2" t="s">
        <v>42</v>
      </c>
      <c r="B34" s="3">
        <f ca="1">IFERROR(__xludf.DUMMYFUNCTION("SPLIT(A34,"" "")"),0.536111111111111)</f>
        <v>0.53611111111111098</v>
      </c>
      <c r="C34" s="3">
        <f ca="1">IFERROR(__xludf.DUMMYFUNCTION("""COMPUTED_VALUE"""),0.04375)</f>
        <v>4.3749999999999997E-2</v>
      </c>
      <c r="D34" s="3">
        <f ca="1">IFERROR(__xludf.DUMMYFUNCTION("""COMPUTED_VALUE"""),0.0493055555555555)</f>
        <v>4.9305555555555498E-2</v>
      </c>
      <c r="E34" s="3">
        <f ca="1">IFERROR(__xludf.DUMMYFUNCTION("""COMPUTED_VALUE"""),0.0548611111111111)</f>
        <v>5.4861111111111097E-2</v>
      </c>
      <c r="F34" s="3">
        <f ca="1">IFERROR(__xludf.DUMMYFUNCTION("""COMPUTED_VALUE"""),0.0631944444444444)</f>
        <v>6.31944444444444E-2</v>
      </c>
      <c r="G34" s="3">
        <f ca="1">IFERROR(__xludf.DUMMYFUNCTION("""COMPUTED_VALUE"""),0.0701388888888888)</f>
        <v>7.0138888888888806E-2</v>
      </c>
      <c r="H34" s="3">
        <f ca="1">IFERROR(__xludf.DUMMYFUNCTION("""COMPUTED_VALUE"""),0.0777777777777777)</f>
        <v>7.7777777777777696E-2</v>
      </c>
      <c r="I34" s="3">
        <f ca="1">IFERROR(__xludf.DUMMYFUNCTION("""COMPUTED_VALUE"""),0.0840277777777777)</f>
        <v>8.4027777777777701E-2</v>
      </c>
      <c r="J34" s="3">
        <f ca="1">IFERROR(__xludf.DUMMYFUNCTION("""COMPUTED_VALUE"""),0.0888888888888888)</f>
        <v>8.8888888888888795E-2</v>
      </c>
      <c r="K34" s="3">
        <f ca="1">IFERROR(__xludf.DUMMYFUNCTION("""COMPUTED_VALUE"""),0.0902777777777777)</f>
        <v>9.0277777777777707E-2</v>
      </c>
      <c r="M34" s="3">
        <f ca="1">B34</f>
        <v>0.53611111111111098</v>
      </c>
      <c r="N34" s="3">
        <f t="shared" ref="N34:V34" ca="1" si="5">C34+0.5</f>
        <v>0.54374999999999996</v>
      </c>
      <c r="O34" s="3">
        <f t="shared" ca="1" si="5"/>
        <v>0.54930555555555549</v>
      </c>
      <c r="P34" s="3">
        <f t="shared" ca="1" si="5"/>
        <v>0.55486111111111114</v>
      </c>
      <c r="Q34" s="3">
        <f t="shared" ca="1" si="5"/>
        <v>0.56319444444444444</v>
      </c>
      <c r="R34" s="3">
        <f t="shared" ca="1" si="5"/>
        <v>0.57013888888888875</v>
      </c>
      <c r="S34" s="3">
        <f t="shared" ca="1" si="5"/>
        <v>0.57777777777777772</v>
      </c>
      <c r="T34" s="3">
        <f t="shared" ca="1" si="5"/>
        <v>0.5840277777777777</v>
      </c>
      <c r="U34" s="3">
        <f t="shared" ca="1" si="5"/>
        <v>0.5888888888888888</v>
      </c>
      <c r="V34" s="3">
        <f t="shared" ca="1" si="5"/>
        <v>0.59027777777777768</v>
      </c>
      <c r="W34" s="4">
        <f t="shared" ca="1" si="0"/>
        <v>5.4166666666666696E-2</v>
      </c>
      <c r="X34" s="6">
        <v>33</v>
      </c>
    </row>
    <row r="35" spans="1:24" ht="15.75" customHeight="1" x14ac:dyDescent="0.15">
      <c r="A35" s="2" t="s">
        <v>43</v>
      </c>
      <c r="B35" s="3">
        <f ca="1">IFERROR(__xludf.DUMMYFUNCTION("SPLIT(A35,"" "")"),0.0465277777777777)</f>
        <v>4.6527777777777703E-2</v>
      </c>
      <c r="C35" s="3">
        <f ca="1">IFERROR(__xludf.DUMMYFUNCTION("""COMPUTED_VALUE"""),0.0541666666666666)</f>
        <v>5.4166666666666599E-2</v>
      </c>
      <c r="D35" s="3">
        <f ca="1">IFERROR(__xludf.DUMMYFUNCTION("""COMPUTED_VALUE"""),0.0597222222222222)</f>
        <v>5.9722222222222197E-2</v>
      </c>
      <c r="E35" s="3">
        <f ca="1">IFERROR(__xludf.DUMMYFUNCTION("""COMPUTED_VALUE"""),0.0652777777777777)</f>
        <v>6.5277777777777699E-2</v>
      </c>
      <c r="F35" s="3">
        <f ca="1">IFERROR(__xludf.DUMMYFUNCTION("""COMPUTED_VALUE"""),0.0736111111111111)</f>
        <v>7.3611111111111099E-2</v>
      </c>
      <c r="G35" s="3">
        <f ca="1">IFERROR(__xludf.DUMMYFUNCTION("""COMPUTED_VALUE"""),0.0805555555555555)</f>
        <v>8.0555555555555505E-2</v>
      </c>
      <c r="H35" s="3">
        <f ca="1">IFERROR(__xludf.DUMMYFUNCTION("""COMPUTED_VALUE"""),0.0881944444444444)</f>
        <v>8.8194444444444395E-2</v>
      </c>
      <c r="I35" s="3">
        <f ca="1">IFERROR(__xludf.DUMMYFUNCTION("""COMPUTED_VALUE"""),0.0944444444444444)</f>
        <v>9.44444444444444E-2</v>
      </c>
      <c r="J35" s="3">
        <f ca="1">IFERROR(__xludf.DUMMYFUNCTION("""COMPUTED_VALUE"""),0.0993055555555555)</f>
        <v>9.9305555555555494E-2</v>
      </c>
      <c r="K35" s="3">
        <f ca="1">IFERROR(__xludf.DUMMYFUNCTION("""COMPUTED_VALUE"""),0.100694444444444)</f>
        <v>0.100694444444444</v>
      </c>
      <c r="M35" s="3">
        <f t="shared" ref="M35:V35" ca="1" si="6">B35+0.5</f>
        <v>0.54652777777777772</v>
      </c>
      <c r="N35" s="3">
        <f t="shared" ca="1" si="6"/>
        <v>0.55416666666666659</v>
      </c>
      <c r="O35" s="3">
        <f t="shared" ca="1" si="6"/>
        <v>0.55972222222222223</v>
      </c>
      <c r="P35" s="3">
        <f t="shared" ca="1" si="6"/>
        <v>0.56527777777777766</v>
      </c>
      <c r="Q35" s="3">
        <f t="shared" ca="1" si="6"/>
        <v>0.57361111111111107</v>
      </c>
      <c r="R35" s="3">
        <f t="shared" ca="1" si="6"/>
        <v>0.58055555555555549</v>
      </c>
      <c r="S35" s="3">
        <f t="shared" ca="1" si="6"/>
        <v>0.58819444444444435</v>
      </c>
      <c r="T35" s="3">
        <f t="shared" ca="1" si="6"/>
        <v>0.59444444444444444</v>
      </c>
      <c r="U35" s="3">
        <f t="shared" ca="1" si="6"/>
        <v>0.59930555555555554</v>
      </c>
      <c r="V35" s="3">
        <f t="shared" ca="1" si="6"/>
        <v>0.60069444444444398</v>
      </c>
      <c r="W35" s="4">
        <f t="shared" ca="1" si="0"/>
        <v>5.4166666666666252E-2</v>
      </c>
      <c r="X35" s="6">
        <v>34</v>
      </c>
    </row>
    <row r="36" spans="1:24" ht="15.75" customHeight="1" x14ac:dyDescent="0.15">
      <c r="A36" s="2" t="s">
        <v>44</v>
      </c>
      <c r="B36" s="3">
        <f ca="1">IFERROR(__xludf.DUMMYFUNCTION("SPLIT(A36,"" "")"),0.0569444444444444)</f>
        <v>5.6944444444444402E-2</v>
      </c>
      <c r="C36" s="3">
        <f ca="1">IFERROR(__xludf.DUMMYFUNCTION("""COMPUTED_VALUE"""),0.0645833333333333)</f>
        <v>6.4583333333333298E-2</v>
      </c>
      <c r="D36" s="3">
        <f ca="1">IFERROR(__xludf.DUMMYFUNCTION("""COMPUTED_VALUE"""),0.0701388888888888)</f>
        <v>7.0138888888888806E-2</v>
      </c>
      <c r="E36" s="3">
        <f ca="1">IFERROR(__xludf.DUMMYFUNCTION("""COMPUTED_VALUE"""),0.0756944444444444)</f>
        <v>7.5694444444444398E-2</v>
      </c>
      <c r="F36" s="3">
        <f ca="1">IFERROR(__xludf.DUMMYFUNCTION("""COMPUTED_VALUE"""),0.0840277777777777)</f>
        <v>8.4027777777777701E-2</v>
      </c>
      <c r="G36" s="3">
        <f ca="1">IFERROR(__xludf.DUMMYFUNCTION("""COMPUTED_VALUE"""),0.0909722222222222)</f>
        <v>9.0972222222222204E-2</v>
      </c>
      <c r="H36" s="3">
        <f ca="1">IFERROR(__xludf.DUMMYFUNCTION("""COMPUTED_VALUE"""),0.0986111111111111)</f>
        <v>9.8611111111111094E-2</v>
      </c>
      <c r="I36" s="3">
        <f ca="1">IFERROR(__xludf.DUMMYFUNCTION("""COMPUTED_VALUE"""),0.104861111111111)</f>
        <v>0.104861111111111</v>
      </c>
      <c r="J36" s="3">
        <f ca="1">IFERROR(__xludf.DUMMYFUNCTION("""COMPUTED_VALUE"""),0.109722222222222)</f>
        <v>0.109722222222222</v>
      </c>
      <c r="K36" s="3">
        <f ca="1">IFERROR(__xludf.DUMMYFUNCTION("""COMPUTED_VALUE"""),0.111111111111111)</f>
        <v>0.11111111111111099</v>
      </c>
      <c r="M36" s="3">
        <f t="shared" ref="M36:V36" ca="1" si="7">B36+0.5</f>
        <v>0.55694444444444435</v>
      </c>
      <c r="N36" s="3">
        <f t="shared" ca="1" si="7"/>
        <v>0.56458333333333333</v>
      </c>
      <c r="O36" s="3">
        <f t="shared" ca="1" si="7"/>
        <v>0.57013888888888875</v>
      </c>
      <c r="P36" s="3">
        <f t="shared" ca="1" si="7"/>
        <v>0.5756944444444444</v>
      </c>
      <c r="Q36" s="3">
        <f t="shared" ca="1" si="7"/>
        <v>0.5840277777777777</v>
      </c>
      <c r="R36" s="3">
        <f t="shared" ca="1" si="7"/>
        <v>0.59097222222222223</v>
      </c>
      <c r="S36" s="3">
        <f t="shared" ca="1" si="7"/>
        <v>0.59861111111111109</v>
      </c>
      <c r="T36" s="3">
        <f t="shared" ca="1" si="7"/>
        <v>0.60486111111111096</v>
      </c>
      <c r="U36" s="3">
        <f t="shared" ca="1" si="7"/>
        <v>0.60972222222222205</v>
      </c>
      <c r="V36" s="3">
        <f t="shared" ca="1" si="7"/>
        <v>0.61111111111111094</v>
      </c>
      <c r="W36" s="4">
        <f t="shared" ca="1" si="0"/>
        <v>5.4166666666666585E-2</v>
      </c>
      <c r="X36" s="6">
        <v>35</v>
      </c>
    </row>
    <row r="37" spans="1:24" ht="15.75" customHeight="1" x14ac:dyDescent="0.15">
      <c r="A37" s="2" t="s">
        <v>45</v>
      </c>
      <c r="B37" s="3">
        <f ca="1">IFERROR(__xludf.DUMMYFUNCTION("SPLIT(A37,"" "")"),0.0673611111111111)</f>
        <v>6.7361111111111094E-2</v>
      </c>
      <c r="C37" s="3">
        <f ca="1">IFERROR(__xludf.DUMMYFUNCTION("""COMPUTED_VALUE"""),0.075)</f>
        <v>7.4999999999999997E-2</v>
      </c>
      <c r="D37" s="3">
        <f ca="1">IFERROR(__xludf.DUMMYFUNCTION("""COMPUTED_VALUE"""),0.0805555555555555)</f>
        <v>8.0555555555555505E-2</v>
      </c>
      <c r="E37" s="3">
        <f ca="1">IFERROR(__xludf.DUMMYFUNCTION("""COMPUTED_VALUE"""),0.0861111111111111)</f>
        <v>8.6111111111111097E-2</v>
      </c>
      <c r="F37" s="3">
        <f ca="1">IFERROR(__xludf.DUMMYFUNCTION("""COMPUTED_VALUE"""),0.0951388888888888)</f>
        <v>9.5138888888888801E-2</v>
      </c>
      <c r="G37" s="3">
        <f ca="1">IFERROR(__xludf.DUMMYFUNCTION("""COMPUTED_VALUE"""),0.102777777777777)</f>
        <v>0.102777777777777</v>
      </c>
      <c r="H37" s="3">
        <f ca="1">IFERROR(__xludf.DUMMYFUNCTION("""COMPUTED_VALUE"""),0.111111111111111)</f>
        <v>0.11111111111111099</v>
      </c>
      <c r="I37" s="3">
        <f ca="1">IFERROR(__xludf.DUMMYFUNCTION("""COMPUTED_VALUE"""),0.118055555555555)</f>
        <v>0.118055555555555</v>
      </c>
      <c r="J37" s="3">
        <f ca="1">IFERROR(__xludf.DUMMYFUNCTION("""COMPUTED_VALUE"""),0.123611111111111)</f>
        <v>0.12361111111111101</v>
      </c>
      <c r="K37" s="3">
        <f ca="1">IFERROR(__xludf.DUMMYFUNCTION("""COMPUTED_VALUE"""),0.125)</f>
        <v>0.125</v>
      </c>
      <c r="M37" s="3">
        <f t="shared" ref="M37:V37" ca="1" si="8">B37+0.5</f>
        <v>0.56736111111111109</v>
      </c>
      <c r="N37" s="3">
        <f t="shared" ca="1" si="8"/>
        <v>0.57499999999999996</v>
      </c>
      <c r="O37" s="3">
        <f t="shared" ca="1" si="8"/>
        <v>0.58055555555555549</v>
      </c>
      <c r="P37" s="3">
        <f t="shared" ca="1" si="8"/>
        <v>0.58611111111111114</v>
      </c>
      <c r="Q37" s="3">
        <f t="shared" ca="1" si="8"/>
        <v>0.59513888888888877</v>
      </c>
      <c r="R37" s="3">
        <f t="shared" ca="1" si="8"/>
        <v>0.60277777777777697</v>
      </c>
      <c r="S37" s="3">
        <f t="shared" ca="1" si="8"/>
        <v>0.61111111111111094</v>
      </c>
      <c r="T37" s="3">
        <f t="shared" ca="1" si="8"/>
        <v>0.61805555555555503</v>
      </c>
      <c r="U37" s="3">
        <f t="shared" ca="1" si="8"/>
        <v>0.62361111111111101</v>
      </c>
      <c r="V37" s="3">
        <f t="shared" ca="1" si="8"/>
        <v>0.625</v>
      </c>
      <c r="W37" s="4">
        <f t="shared" ca="1" si="0"/>
        <v>5.7638888888888906E-2</v>
      </c>
      <c r="X37" s="6">
        <v>36</v>
      </c>
    </row>
    <row r="38" spans="1:24" ht="15.75" customHeight="1" x14ac:dyDescent="0.15">
      <c r="A38" s="2" t="s">
        <v>46</v>
      </c>
      <c r="B38" s="3">
        <f ca="1">IFERROR(__xludf.DUMMYFUNCTION("SPLIT(A38,"" "")"),0.0777777777777777)</f>
        <v>7.7777777777777696E-2</v>
      </c>
      <c r="C38" s="3">
        <f ca="1">IFERROR(__xludf.DUMMYFUNCTION("""COMPUTED_VALUE"""),0.0854166666666666)</f>
        <v>8.5416666666666599E-2</v>
      </c>
      <c r="D38" s="3">
        <f ca="1">IFERROR(__xludf.DUMMYFUNCTION("""COMPUTED_VALUE"""),0.0909722222222222)</f>
        <v>9.0972222222222204E-2</v>
      </c>
      <c r="E38" s="3">
        <f ca="1">IFERROR(__xludf.DUMMYFUNCTION("""COMPUTED_VALUE"""),0.0965277777777777)</f>
        <v>9.6527777777777699E-2</v>
      </c>
      <c r="F38" s="3">
        <f ca="1">IFERROR(__xludf.DUMMYFUNCTION("""COMPUTED_VALUE"""),0.105555555555555)</f>
        <v>0.105555555555555</v>
      </c>
      <c r="G38" s="3">
        <f ca="1">IFERROR(__xludf.DUMMYFUNCTION("""COMPUTED_VALUE"""),0.113194444444444)</f>
        <v>0.113194444444444</v>
      </c>
      <c r="H38" s="3">
        <f ca="1">IFERROR(__xludf.DUMMYFUNCTION("""COMPUTED_VALUE"""),0.121527777777777)</f>
        <v>0.121527777777777</v>
      </c>
      <c r="I38" s="3">
        <f ca="1">IFERROR(__xludf.DUMMYFUNCTION("""COMPUTED_VALUE"""),0.128472222222222)</f>
        <v>0.12847222222222199</v>
      </c>
      <c r="J38" s="3">
        <f ca="1">IFERROR(__xludf.DUMMYFUNCTION("""COMPUTED_VALUE"""),0.134027777777777)</f>
        <v>0.134027777777777</v>
      </c>
      <c r="K38" s="3">
        <f ca="1">IFERROR(__xludf.DUMMYFUNCTION("""COMPUTED_VALUE"""),0.135416666666666)</f>
        <v>0.13541666666666599</v>
      </c>
      <c r="M38" s="3">
        <f t="shared" ref="M38:V38" ca="1" si="9">B38+0.5</f>
        <v>0.57777777777777772</v>
      </c>
      <c r="N38" s="3">
        <f t="shared" ca="1" si="9"/>
        <v>0.58541666666666659</v>
      </c>
      <c r="O38" s="3">
        <f t="shared" ca="1" si="9"/>
        <v>0.59097222222222223</v>
      </c>
      <c r="P38" s="3">
        <f t="shared" ca="1" si="9"/>
        <v>0.59652777777777766</v>
      </c>
      <c r="Q38" s="3">
        <f t="shared" ca="1" si="9"/>
        <v>0.60555555555555496</v>
      </c>
      <c r="R38" s="3">
        <f t="shared" ca="1" si="9"/>
        <v>0.61319444444444404</v>
      </c>
      <c r="S38" s="3">
        <f t="shared" ca="1" si="9"/>
        <v>0.62152777777777701</v>
      </c>
      <c r="T38" s="3">
        <f t="shared" ca="1" si="9"/>
        <v>0.62847222222222199</v>
      </c>
      <c r="U38" s="3">
        <f t="shared" ca="1" si="9"/>
        <v>0.63402777777777697</v>
      </c>
      <c r="V38" s="3">
        <f t="shared" ca="1" si="9"/>
        <v>0.63541666666666596</v>
      </c>
      <c r="W38" s="4">
        <f t="shared" ca="1" si="0"/>
        <v>5.763888888888824E-2</v>
      </c>
      <c r="X38" s="6">
        <v>37</v>
      </c>
    </row>
    <row r="39" spans="1:24" ht="15.75" customHeight="1" x14ac:dyDescent="0.15">
      <c r="A39" s="2" t="s">
        <v>47</v>
      </c>
      <c r="B39" s="3">
        <f ca="1">IFERROR(__xludf.DUMMYFUNCTION("SPLIT(A39,"" "")"),0.0881944444444444)</f>
        <v>8.8194444444444395E-2</v>
      </c>
      <c r="C39" s="3">
        <f ca="1">IFERROR(__xludf.DUMMYFUNCTION("""COMPUTED_VALUE"""),0.0958333333333333)</f>
        <v>9.5833333333333298E-2</v>
      </c>
      <c r="D39" s="3">
        <f ca="1">IFERROR(__xludf.DUMMYFUNCTION("""COMPUTED_VALUE"""),0.101388888888888)</f>
        <v>0.101388888888888</v>
      </c>
      <c r="E39" s="3">
        <f ca="1">IFERROR(__xludf.DUMMYFUNCTION("""COMPUTED_VALUE"""),0.106944444444444)</f>
        <v>0.106944444444444</v>
      </c>
      <c r="F39" s="3">
        <f ca="1">IFERROR(__xludf.DUMMYFUNCTION("""COMPUTED_VALUE"""),0.115972222222222)</f>
        <v>0.115972222222222</v>
      </c>
      <c r="G39" s="3">
        <f ca="1">IFERROR(__xludf.DUMMYFUNCTION("""COMPUTED_VALUE"""),0.123611111111111)</f>
        <v>0.12361111111111101</v>
      </c>
      <c r="H39" s="3">
        <f ca="1">IFERROR(__xludf.DUMMYFUNCTION("""COMPUTED_VALUE"""),0.131944444444444)</f>
        <v>0.131944444444444</v>
      </c>
      <c r="I39" s="3">
        <f ca="1">IFERROR(__xludf.DUMMYFUNCTION("""COMPUTED_VALUE"""),0.138888888888888)</f>
        <v>0.13888888888888801</v>
      </c>
      <c r="J39" s="3">
        <f ca="1">IFERROR(__xludf.DUMMYFUNCTION("""COMPUTED_VALUE"""),0.144444444444444)</f>
        <v>0.14444444444444399</v>
      </c>
      <c r="K39" s="3">
        <f ca="1">IFERROR(__xludf.DUMMYFUNCTION("""COMPUTED_VALUE"""),0.145833333333333)</f>
        <v>0.14583333333333301</v>
      </c>
      <c r="M39" s="3">
        <f t="shared" ref="M39:V39" ca="1" si="10">B39+0.5</f>
        <v>0.58819444444444435</v>
      </c>
      <c r="N39" s="3">
        <f t="shared" ca="1" si="10"/>
        <v>0.59583333333333333</v>
      </c>
      <c r="O39" s="3">
        <f t="shared" ca="1" si="10"/>
        <v>0.60138888888888797</v>
      </c>
      <c r="P39" s="3">
        <f t="shared" ca="1" si="10"/>
        <v>0.60694444444444395</v>
      </c>
      <c r="Q39" s="3">
        <f t="shared" ca="1" si="10"/>
        <v>0.61597222222222203</v>
      </c>
      <c r="R39" s="3">
        <f t="shared" ca="1" si="10"/>
        <v>0.62361111111111101</v>
      </c>
      <c r="S39" s="3">
        <f t="shared" ca="1" si="10"/>
        <v>0.63194444444444398</v>
      </c>
      <c r="T39" s="3">
        <f t="shared" ca="1" si="10"/>
        <v>0.63888888888888795</v>
      </c>
      <c r="U39" s="3">
        <f t="shared" ca="1" si="10"/>
        <v>0.64444444444444393</v>
      </c>
      <c r="V39" s="3">
        <f t="shared" ca="1" si="10"/>
        <v>0.64583333333333304</v>
      </c>
      <c r="W39" s="4">
        <f t="shared" ca="1" si="0"/>
        <v>5.7638888888888684E-2</v>
      </c>
      <c r="X39" s="6">
        <v>38</v>
      </c>
    </row>
    <row r="40" spans="1:24" ht="15.75" customHeight="1" x14ac:dyDescent="0.15">
      <c r="A40" s="2" t="s">
        <v>48</v>
      </c>
      <c r="B40" s="3">
        <f ca="1">IFERROR(__xludf.DUMMYFUNCTION("SPLIT(A40,"" "")"),0.0986111111111111)</f>
        <v>9.8611111111111094E-2</v>
      </c>
      <c r="C40" s="3">
        <f ca="1">IFERROR(__xludf.DUMMYFUNCTION("""COMPUTED_VALUE"""),0.10625)</f>
        <v>0.10625</v>
      </c>
      <c r="D40" s="3">
        <f ca="1">IFERROR(__xludf.DUMMYFUNCTION("""COMPUTED_VALUE"""),0.111805555555555)</f>
        <v>0.11180555555555501</v>
      </c>
      <c r="E40" s="3">
        <f ca="1">IFERROR(__xludf.DUMMYFUNCTION("""COMPUTED_VALUE"""),0.117361111111111)</f>
        <v>0.117361111111111</v>
      </c>
      <c r="F40" s="3">
        <f ca="1">IFERROR(__xludf.DUMMYFUNCTION("""COMPUTED_VALUE"""),0.126388888888888)</f>
        <v>0.126388888888888</v>
      </c>
      <c r="G40" s="3">
        <f ca="1">IFERROR(__xludf.DUMMYFUNCTION("""COMPUTED_VALUE"""),0.134027777777777)</f>
        <v>0.134027777777777</v>
      </c>
      <c r="H40" s="3">
        <f ca="1">IFERROR(__xludf.DUMMYFUNCTION("""COMPUTED_VALUE"""),0.142361111111111)</f>
        <v>0.14236111111111099</v>
      </c>
      <c r="I40" s="3">
        <f ca="1">IFERROR(__xludf.DUMMYFUNCTION("""COMPUTED_VALUE"""),0.149305555555555)</f>
        <v>0.149305555555555</v>
      </c>
      <c r="J40" s="3">
        <f ca="1">IFERROR(__xludf.DUMMYFUNCTION("""COMPUTED_VALUE"""),0.154861111111111)</f>
        <v>0.15486111111111101</v>
      </c>
      <c r="K40" s="3">
        <f ca="1">IFERROR(__xludf.DUMMYFUNCTION("""COMPUTED_VALUE"""),0.15625)</f>
        <v>0.15625</v>
      </c>
      <c r="M40" s="3">
        <f t="shared" ref="M40:V40" ca="1" si="11">B40+0.5</f>
        <v>0.59861111111111109</v>
      </c>
      <c r="N40" s="3">
        <f t="shared" ca="1" si="11"/>
        <v>0.60624999999999996</v>
      </c>
      <c r="O40" s="3">
        <f t="shared" ca="1" si="11"/>
        <v>0.61180555555555505</v>
      </c>
      <c r="P40" s="3">
        <f t="shared" ca="1" si="11"/>
        <v>0.61736111111111103</v>
      </c>
      <c r="Q40" s="3">
        <f t="shared" ca="1" si="11"/>
        <v>0.626388888888888</v>
      </c>
      <c r="R40" s="3">
        <f t="shared" ca="1" si="11"/>
        <v>0.63402777777777697</v>
      </c>
      <c r="S40" s="3">
        <f t="shared" ca="1" si="11"/>
        <v>0.64236111111111094</v>
      </c>
      <c r="T40" s="3">
        <f t="shared" ca="1" si="11"/>
        <v>0.64930555555555503</v>
      </c>
      <c r="U40" s="3">
        <f t="shared" ca="1" si="11"/>
        <v>0.65486111111111101</v>
      </c>
      <c r="V40" s="3">
        <f t="shared" ca="1" si="11"/>
        <v>0.65625</v>
      </c>
      <c r="W40" s="4">
        <f t="shared" ca="1" si="0"/>
        <v>5.7638888888888906E-2</v>
      </c>
      <c r="X40" s="6">
        <v>39</v>
      </c>
    </row>
    <row r="41" spans="1:24" ht="15.75" customHeight="1" x14ac:dyDescent="0.15">
      <c r="A41" s="2" t="s">
        <v>49</v>
      </c>
      <c r="B41" s="3">
        <f ca="1">IFERROR(__xludf.DUMMYFUNCTION("SPLIT(A41,"" "")"),0.109027777777777)</f>
        <v>0.109027777777777</v>
      </c>
      <c r="C41" s="3">
        <f ca="1">IFERROR(__xludf.DUMMYFUNCTION("""COMPUTED_VALUE"""),0.116666666666666)</f>
        <v>0.116666666666666</v>
      </c>
      <c r="D41" s="3">
        <f ca="1">IFERROR(__xludf.DUMMYFUNCTION("""COMPUTED_VALUE"""),0.122222222222222)</f>
        <v>0.122222222222222</v>
      </c>
      <c r="E41" s="3">
        <f ca="1">IFERROR(__xludf.DUMMYFUNCTION("""COMPUTED_VALUE"""),0.127777777777777)</f>
        <v>0.12777777777777699</v>
      </c>
      <c r="F41" s="3">
        <f ca="1">IFERROR(__xludf.DUMMYFUNCTION("""COMPUTED_VALUE"""),0.136805555555555)</f>
        <v>0.13680555555555499</v>
      </c>
      <c r="G41" s="3">
        <f ca="1">IFERROR(__xludf.DUMMYFUNCTION("""COMPUTED_VALUE"""),0.144444444444444)</f>
        <v>0.14444444444444399</v>
      </c>
      <c r="H41" s="3">
        <f ca="1">IFERROR(__xludf.DUMMYFUNCTION("""COMPUTED_VALUE"""),0.152777777777777)</f>
        <v>0.15277777777777701</v>
      </c>
      <c r="I41" s="3">
        <f ca="1">IFERROR(__xludf.DUMMYFUNCTION("""COMPUTED_VALUE"""),0.159722222222222)</f>
        <v>0.15972222222222199</v>
      </c>
      <c r="J41" s="3">
        <f ca="1">IFERROR(__xludf.DUMMYFUNCTION("""COMPUTED_VALUE"""),0.165277777777777)</f>
        <v>0.165277777777777</v>
      </c>
      <c r="K41" s="3">
        <f ca="1">IFERROR(__xludf.DUMMYFUNCTION("""COMPUTED_VALUE"""),0.166666666666666)</f>
        <v>0.16666666666666599</v>
      </c>
      <c r="M41" s="3">
        <f t="shared" ref="M41:V41" ca="1" si="12">B41+0.5</f>
        <v>0.60902777777777706</v>
      </c>
      <c r="N41" s="3">
        <f t="shared" ca="1" si="12"/>
        <v>0.61666666666666603</v>
      </c>
      <c r="O41" s="3">
        <f t="shared" ca="1" si="12"/>
        <v>0.62222222222222201</v>
      </c>
      <c r="P41" s="3">
        <f t="shared" ca="1" si="12"/>
        <v>0.62777777777777699</v>
      </c>
      <c r="Q41" s="3">
        <f t="shared" ca="1" si="12"/>
        <v>0.63680555555555496</v>
      </c>
      <c r="R41" s="3">
        <f t="shared" ca="1" si="12"/>
        <v>0.64444444444444393</v>
      </c>
      <c r="S41" s="3">
        <f t="shared" ca="1" si="12"/>
        <v>0.65277777777777701</v>
      </c>
      <c r="T41" s="3">
        <f t="shared" ca="1" si="12"/>
        <v>0.65972222222222199</v>
      </c>
      <c r="U41" s="3">
        <f t="shared" ca="1" si="12"/>
        <v>0.66527777777777697</v>
      </c>
      <c r="V41" s="3">
        <f t="shared" ca="1" si="12"/>
        <v>0.66666666666666596</v>
      </c>
      <c r="W41" s="4">
        <f t="shared" ca="1" si="0"/>
        <v>5.7638888888888906E-2</v>
      </c>
      <c r="X41" s="6">
        <v>40</v>
      </c>
    </row>
    <row r="42" spans="1:24" ht="15.75" customHeight="1" x14ac:dyDescent="0.15">
      <c r="A42" s="2" t="s">
        <v>50</v>
      </c>
      <c r="B42" s="3">
        <f ca="1">IFERROR(__xludf.DUMMYFUNCTION("SPLIT(A42,"" "")"),0.119444444444444)</f>
        <v>0.11944444444444401</v>
      </c>
      <c r="C42" s="3">
        <f ca="1">IFERROR(__xludf.DUMMYFUNCTION("""COMPUTED_VALUE"""),0.127083333333333)</f>
        <v>0.12708333333333299</v>
      </c>
      <c r="D42" s="3">
        <f ca="1">IFERROR(__xludf.DUMMYFUNCTION("""COMPUTED_VALUE"""),0.132638888888888)</f>
        <v>0.132638888888888</v>
      </c>
      <c r="E42" s="3">
        <f ca="1">IFERROR(__xludf.DUMMYFUNCTION("""COMPUTED_VALUE"""),0.138194444444444)</f>
        <v>0.13819444444444401</v>
      </c>
      <c r="F42" s="3">
        <f ca="1">IFERROR(__xludf.DUMMYFUNCTION("""COMPUTED_VALUE"""),0.147222222222222)</f>
        <v>0.147222222222222</v>
      </c>
      <c r="G42" s="3">
        <f ca="1">IFERROR(__xludf.DUMMYFUNCTION("""COMPUTED_VALUE"""),0.154861111111111)</f>
        <v>0.15486111111111101</v>
      </c>
      <c r="H42" s="3">
        <f ca="1">IFERROR(__xludf.DUMMYFUNCTION("""COMPUTED_VALUE"""),0.163194444444444)</f>
        <v>0.163194444444444</v>
      </c>
      <c r="I42" s="3">
        <f ca="1">IFERROR(__xludf.DUMMYFUNCTION("""COMPUTED_VALUE"""),0.170138888888888)</f>
        <v>0.17013888888888801</v>
      </c>
      <c r="J42" s="3">
        <f ca="1">IFERROR(__xludf.DUMMYFUNCTION("""COMPUTED_VALUE"""),0.175694444444444)</f>
        <v>0.17569444444444399</v>
      </c>
      <c r="K42" s="3">
        <f ca="1">IFERROR(__xludf.DUMMYFUNCTION("""COMPUTED_VALUE"""),0.177083333333333)</f>
        <v>0.17708333333333301</v>
      </c>
      <c r="M42" s="3">
        <f t="shared" ref="M42:V42" ca="1" si="13">B42+0.5</f>
        <v>0.61944444444444402</v>
      </c>
      <c r="N42" s="3">
        <f t="shared" ca="1" si="13"/>
        <v>0.62708333333333299</v>
      </c>
      <c r="O42" s="3">
        <f t="shared" ca="1" si="13"/>
        <v>0.63263888888888797</v>
      </c>
      <c r="P42" s="3">
        <f t="shared" ca="1" si="13"/>
        <v>0.63819444444444406</v>
      </c>
      <c r="Q42" s="3">
        <f t="shared" ca="1" si="13"/>
        <v>0.64722222222222203</v>
      </c>
      <c r="R42" s="3">
        <f t="shared" ca="1" si="13"/>
        <v>0.65486111111111101</v>
      </c>
      <c r="S42" s="3">
        <f t="shared" ca="1" si="13"/>
        <v>0.66319444444444398</v>
      </c>
      <c r="T42" s="3">
        <f t="shared" ca="1" si="13"/>
        <v>0.67013888888888795</v>
      </c>
      <c r="U42" s="3">
        <f t="shared" ca="1" si="13"/>
        <v>0.67569444444444393</v>
      </c>
      <c r="V42" s="3">
        <f t="shared" ca="1" si="13"/>
        <v>0.67708333333333304</v>
      </c>
      <c r="W42" s="4">
        <f t="shared" ca="1" si="0"/>
        <v>5.7638888888889017E-2</v>
      </c>
      <c r="X42" s="6">
        <v>41</v>
      </c>
    </row>
    <row r="43" spans="1:24" ht="15.75" customHeight="1" x14ac:dyDescent="0.15">
      <c r="A43" s="2" t="s">
        <v>51</v>
      </c>
      <c r="B43" s="3">
        <f ca="1">IFERROR(__xludf.DUMMYFUNCTION("SPLIT(A43,"" "")"),0.129861111111111)</f>
        <v>0.12986111111111101</v>
      </c>
      <c r="C43" s="3">
        <f ca="1">IFERROR(__xludf.DUMMYFUNCTION("""COMPUTED_VALUE"""),0.1375)</f>
        <v>0.13750000000000001</v>
      </c>
      <c r="D43" s="3">
        <f ca="1">IFERROR(__xludf.DUMMYFUNCTION("""COMPUTED_VALUE"""),0.143055555555555)</f>
        <v>0.14305555555555499</v>
      </c>
      <c r="E43" s="3">
        <f ca="1">IFERROR(__xludf.DUMMYFUNCTION("""COMPUTED_VALUE"""),0.148611111111111)</f>
        <v>0.148611111111111</v>
      </c>
      <c r="F43" s="3">
        <f ca="1">IFERROR(__xludf.DUMMYFUNCTION("""COMPUTED_VALUE"""),0.157638888888888)</f>
        <v>0.157638888888888</v>
      </c>
      <c r="G43" s="3">
        <f ca="1">IFERROR(__xludf.DUMMYFUNCTION("""COMPUTED_VALUE"""),0.165277777777777)</f>
        <v>0.165277777777777</v>
      </c>
      <c r="H43" s="3">
        <f ca="1">IFERROR(__xludf.DUMMYFUNCTION("""COMPUTED_VALUE"""),0.173611111111111)</f>
        <v>0.17361111111111099</v>
      </c>
      <c r="I43" s="3">
        <f ca="1">IFERROR(__xludf.DUMMYFUNCTION("""COMPUTED_VALUE"""),0.180555555555555)</f>
        <v>0.180555555555555</v>
      </c>
      <c r="J43" s="3">
        <f ca="1">IFERROR(__xludf.DUMMYFUNCTION("""COMPUTED_VALUE"""),0.186111111111111)</f>
        <v>0.18611111111111101</v>
      </c>
      <c r="K43" s="3">
        <f ca="1">IFERROR(__xludf.DUMMYFUNCTION("""COMPUTED_VALUE"""),0.1875)</f>
        <v>0.1875</v>
      </c>
      <c r="M43" s="3">
        <f t="shared" ref="M43:V43" ca="1" si="14">B43+0.5</f>
        <v>0.62986111111111098</v>
      </c>
      <c r="N43" s="3">
        <f t="shared" ca="1" si="14"/>
        <v>0.63749999999999996</v>
      </c>
      <c r="O43" s="3">
        <f t="shared" ca="1" si="14"/>
        <v>0.64305555555555505</v>
      </c>
      <c r="P43" s="3">
        <f t="shared" ca="1" si="14"/>
        <v>0.64861111111111103</v>
      </c>
      <c r="Q43" s="3">
        <f t="shared" ca="1" si="14"/>
        <v>0.657638888888888</v>
      </c>
      <c r="R43" s="3">
        <f t="shared" ca="1" si="14"/>
        <v>0.66527777777777697</v>
      </c>
      <c r="S43" s="3">
        <f t="shared" ca="1" si="14"/>
        <v>0.67361111111111094</v>
      </c>
      <c r="T43" s="3">
        <f t="shared" ca="1" si="14"/>
        <v>0.68055555555555503</v>
      </c>
      <c r="U43" s="3">
        <f t="shared" ca="1" si="14"/>
        <v>0.68611111111111101</v>
      </c>
      <c r="V43" s="3">
        <f t="shared" ca="1" si="14"/>
        <v>0.6875</v>
      </c>
      <c r="W43" s="4">
        <f t="shared" ca="1" si="0"/>
        <v>5.7638888888889017E-2</v>
      </c>
      <c r="X43" s="6">
        <v>42</v>
      </c>
    </row>
    <row r="44" spans="1:24" ht="15.75" customHeight="1" x14ac:dyDescent="0.15">
      <c r="A44" s="2" t="s">
        <v>52</v>
      </c>
      <c r="B44" s="3">
        <f ca="1">IFERROR(__xludf.DUMMYFUNCTION("SPLIT(A44,"" "")"),0.140277777777777)</f>
        <v>0.140277777777777</v>
      </c>
      <c r="C44" s="3">
        <f ca="1">IFERROR(__xludf.DUMMYFUNCTION("""COMPUTED_VALUE"""),0.147916666666666)</f>
        <v>0.147916666666666</v>
      </c>
      <c r="D44" s="3">
        <f ca="1">IFERROR(__xludf.DUMMYFUNCTION("""COMPUTED_VALUE"""),0.153472222222222)</f>
        <v>0.15347222222222201</v>
      </c>
      <c r="E44" s="3">
        <f ca="1">IFERROR(__xludf.DUMMYFUNCTION("""COMPUTED_VALUE"""),0.159027777777777)</f>
        <v>0.15902777777777699</v>
      </c>
      <c r="F44" s="3">
        <f ca="1">IFERROR(__xludf.DUMMYFUNCTION("""COMPUTED_VALUE"""),0.168055555555555)</f>
        <v>0.16805555555555499</v>
      </c>
      <c r="G44" s="3">
        <f ca="1">IFERROR(__xludf.DUMMYFUNCTION("""COMPUTED_VALUE"""),0.175694444444444)</f>
        <v>0.17569444444444399</v>
      </c>
      <c r="H44" s="3">
        <f ca="1">IFERROR(__xludf.DUMMYFUNCTION("""COMPUTED_VALUE"""),0.184027777777777)</f>
        <v>0.18402777777777701</v>
      </c>
      <c r="I44" s="3">
        <f ca="1">IFERROR(__xludf.DUMMYFUNCTION("""COMPUTED_VALUE"""),0.190972222222222)</f>
        <v>0.19097222222222199</v>
      </c>
      <c r="J44" s="3">
        <f ca="1">IFERROR(__xludf.DUMMYFUNCTION("""COMPUTED_VALUE"""),0.196527777777777)</f>
        <v>0.196527777777777</v>
      </c>
      <c r="K44" s="3">
        <f ca="1">IFERROR(__xludf.DUMMYFUNCTION("""COMPUTED_VALUE"""),0.197916666666666)</f>
        <v>0.19791666666666599</v>
      </c>
      <c r="M44" s="3">
        <f t="shared" ref="M44:V44" ca="1" si="15">B44+0.5</f>
        <v>0.64027777777777706</v>
      </c>
      <c r="N44" s="3">
        <f t="shared" ca="1" si="15"/>
        <v>0.64791666666666603</v>
      </c>
      <c r="O44" s="3">
        <f t="shared" ca="1" si="15"/>
        <v>0.65347222222222201</v>
      </c>
      <c r="P44" s="3">
        <f t="shared" ca="1" si="15"/>
        <v>0.65902777777777699</v>
      </c>
      <c r="Q44" s="3">
        <f t="shared" ca="1" si="15"/>
        <v>0.66805555555555496</v>
      </c>
      <c r="R44" s="3">
        <f t="shared" ca="1" si="15"/>
        <v>0.67569444444444393</v>
      </c>
      <c r="S44" s="3">
        <f t="shared" ca="1" si="15"/>
        <v>0.68402777777777701</v>
      </c>
      <c r="T44" s="3">
        <f t="shared" ca="1" si="15"/>
        <v>0.69097222222222199</v>
      </c>
      <c r="U44" s="3">
        <f t="shared" ca="1" si="15"/>
        <v>0.69652777777777697</v>
      </c>
      <c r="V44" s="3">
        <f t="shared" ca="1" si="15"/>
        <v>0.69791666666666596</v>
      </c>
      <c r="W44" s="4">
        <f t="shared" ca="1" si="0"/>
        <v>5.7638888888888906E-2</v>
      </c>
      <c r="X44" s="6">
        <v>43</v>
      </c>
    </row>
    <row r="45" spans="1:24" ht="15.75" customHeight="1" x14ac:dyDescent="0.15">
      <c r="A45" s="2" t="s">
        <v>53</v>
      </c>
      <c r="B45" s="3">
        <f ca="1">IFERROR(__xludf.DUMMYFUNCTION("SPLIT(A45,"" "")"),0.150694444444444)</f>
        <v>0.15069444444444399</v>
      </c>
      <c r="C45" s="3">
        <f ca="1">IFERROR(__xludf.DUMMYFUNCTION("""COMPUTED_VALUE"""),0.158333333333333)</f>
        <v>0.15833333333333299</v>
      </c>
      <c r="D45" s="3">
        <f ca="1">IFERROR(__xludf.DUMMYFUNCTION("""COMPUTED_VALUE"""),0.163888888888888)</f>
        <v>0.163888888888888</v>
      </c>
      <c r="E45" s="3">
        <f ca="1">IFERROR(__xludf.DUMMYFUNCTION("""COMPUTED_VALUE"""),0.169444444444444)</f>
        <v>0.16944444444444401</v>
      </c>
      <c r="F45" s="3">
        <f ca="1">IFERROR(__xludf.DUMMYFUNCTION("""COMPUTED_VALUE"""),0.178472222222222)</f>
        <v>0.178472222222222</v>
      </c>
      <c r="G45" s="3">
        <f ca="1">IFERROR(__xludf.DUMMYFUNCTION("""COMPUTED_VALUE"""),0.186111111111111)</f>
        <v>0.18611111111111101</v>
      </c>
      <c r="H45" s="3">
        <f ca="1">IFERROR(__xludf.DUMMYFUNCTION("""COMPUTED_VALUE"""),0.194444444444444)</f>
        <v>0.194444444444444</v>
      </c>
      <c r="I45" s="3">
        <f ca="1">IFERROR(__xludf.DUMMYFUNCTION("""COMPUTED_VALUE"""),0.201388888888888)</f>
        <v>0.20138888888888801</v>
      </c>
      <c r="J45" s="3">
        <f ca="1">IFERROR(__xludf.DUMMYFUNCTION("""COMPUTED_VALUE"""),0.206944444444444)</f>
        <v>0.20694444444444399</v>
      </c>
      <c r="K45" s="3">
        <f ca="1">IFERROR(__xludf.DUMMYFUNCTION("""COMPUTED_VALUE"""),0.208333333333333)</f>
        <v>0.20833333333333301</v>
      </c>
      <c r="M45" s="3">
        <f t="shared" ref="M45:V45" ca="1" si="16">B45+0.5</f>
        <v>0.65069444444444402</v>
      </c>
      <c r="N45" s="3">
        <f t="shared" ca="1" si="16"/>
        <v>0.65833333333333299</v>
      </c>
      <c r="O45" s="3">
        <f t="shared" ca="1" si="16"/>
        <v>0.66388888888888797</v>
      </c>
      <c r="P45" s="3">
        <f t="shared" ca="1" si="16"/>
        <v>0.66944444444444406</v>
      </c>
      <c r="Q45" s="3">
        <f t="shared" ca="1" si="16"/>
        <v>0.67847222222222203</v>
      </c>
      <c r="R45" s="3">
        <f t="shared" ca="1" si="16"/>
        <v>0.68611111111111101</v>
      </c>
      <c r="S45" s="3">
        <f t="shared" ca="1" si="16"/>
        <v>0.69444444444444398</v>
      </c>
      <c r="T45" s="3">
        <f t="shared" ca="1" si="16"/>
        <v>0.70138888888888795</v>
      </c>
      <c r="U45" s="3">
        <f t="shared" ca="1" si="16"/>
        <v>0.70694444444444393</v>
      </c>
      <c r="V45" s="3">
        <f t="shared" ca="1" si="16"/>
        <v>0.70833333333333304</v>
      </c>
      <c r="W45" s="4">
        <f t="shared" ca="1" si="0"/>
        <v>5.7638888888889017E-2</v>
      </c>
      <c r="X45" s="6">
        <v>44</v>
      </c>
    </row>
    <row r="46" spans="1:24" ht="15.75" customHeight="1" x14ac:dyDescent="0.15">
      <c r="A46" s="2" t="s">
        <v>54</v>
      </c>
      <c r="B46" s="3">
        <f ca="1">IFERROR(__xludf.DUMMYFUNCTION("SPLIT(A46,"" "")"),0.161111111111111)</f>
        <v>0.16111111111111101</v>
      </c>
      <c r="C46" s="3">
        <f ca="1">IFERROR(__xludf.DUMMYFUNCTION("""COMPUTED_VALUE"""),0.16875)</f>
        <v>0.16875000000000001</v>
      </c>
      <c r="D46" s="3">
        <f ca="1">IFERROR(__xludf.DUMMYFUNCTION("""COMPUTED_VALUE"""),0.174305555555555)</f>
        <v>0.17430555555555499</v>
      </c>
      <c r="E46" s="3">
        <f ca="1">IFERROR(__xludf.DUMMYFUNCTION("""COMPUTED_VALUE"""),0.179861111111111)</f>
        <v>0.179861111111111</v>
      </c>
      <c r="F46" s="3">
        <f ca="1">IFERROR(__xludf.DUMMYFUNCTION("""COMPUTED_VALUE"""),0.188888888888888)</f>
        <v>0.188888888888888</v>
      </c>
      <c r="G46" s="3">
        <f ca="1">IFERROR(__xludf.DUMMYFUNCTION("""COMPUTED_VALUE"""),0.196527777777777)</f>
        <v>0.196527777777777</v>
      </c>
      <c r="H46" s="3">
        <f ca="1">IFERROR(__xludf.DUMMYFUNCTION("""COMPUTED_VALUE"""),0.204861111111111)</f>
        <v>0.20486111111111099</v>
      </c>
      <c r="I46" s="3">
        <f ca="1">IFERROR(__xludf.DUMMYFUNCTION("""COMPUTED_VALUE"""),0.211805555555555)</f>
        <v>0.211805555555555</v>
      </c>
      <c r="J46" s="3">
        <f ca="1">IFERROR(__xludf.DUMMYFUNCTION("""COMPUTED_VALUE"""),0.217361111111111)</f>
        <v>0.21736111111111101</v>
      </c>
      <c r="K46" s="3">
        <f ca="1">IFERROR(__xludf.DUMMYFUNCTION("""COMPUTED_VALUE"""),0.21875)</f>
        <v>0.21875</v>
      </c>
      <c r="M46" s="3">
        <f t="shared" ref="M46:V46" ca="1" si="17">B46+0.5</f>
        <v>0.66111111111111098</v>
      </c>
      <c r="N46" s="3">
        <f t="shared" ca="1" si="17"/>
        <v>0.66874999999999996</v>
      </c>
      <c r="O46" s="3">
        <f t="shared" ca="1" si="17"/>
        <v>0.67430555555555505</v>
      </c>
      <c r="P46" s="3">
        <f t="shared" ca="1" si="17"/>
        <v>0.67986111111111103</v>
      </c>
      <c r="Q46" s="3">
        <f t="shared" ca="1" si="17"/>
        <v>0.688888888888888</v>
      </c>
      <c r="R46" s="3">
        <f t="shared" ca="1" si="17"/>
        <v>0.69652777777777697</v>
      </c>
      <c r="S46" s="3">
        <f t="shared" ca="1" si="17"/>
        <v>0.70486111111111094</v>
      </c>
      <c r="T46" s="3">
        <f t="shared" ca="1" si="17"/>
        <v>0.71180555555555503</v>
      </c>
      <c r="U46" s="3">
        <f t="shared" ca="1" si="17"/>
        <v>0.71736111111111101</v>
      </c>
      <c r="V46" s="3">
        <f t="shared" ca="1" si="17"/>
        <v>0.71875</v>
      </c>
      <c r="W46" s="4">
        <f t="shared" ca="1" si="0"/>
        <v>5.7638888888889017E-2</v>
      </c>
      <c r="X46" s="6">
        <v>45</v>
      </c>
    </row>
    <row r="47" spans="1:24" ht="15.75" customHeight="1" x14ac:dyDescent="0.15">
      <c r="A47" s="2" t="s">
        <v>55</v>
      </c>
      <c r="B47" s="3">
        <f ca="1">IFERROR(__xludf.DUMMYFUNCTION("SPLIT(A47,"" "")"),0.171527777777777)</f>
        <v>0.171527777777777</v>
      </c>
      <c r="C47" s="3">
        <f ca="1">IFERROR(__xludf.DUMMYFUNCTION("""COMPUTED_VALUE"""),0.179166666666666)</f>
        <v>0.179166666666666</v>
      </c>
      <c r="D47" s="3">
        <f ca="1">IFERROR(__xludf.DUMMYFUNCTION("""COMPUTED_VALUE"""),0.184722222222222)</f>
        <v>0.18472222222222201</v>
      </c>
      <c r="E47" s="3">
        <f ca="1">IFERROR(__xludf.DUMMYFUNCTION("""COMPUTED_VALUE"""),0.190277777777777)</f>
        <v>0.19027777777777699</v>
      </c>
      <c r="F47" s="3">
        <f ca="1">IFERROR(__xludf.DUMMYFUNCTION("""COMPUTED_VALUE"""),0.199305555555555)</f>
        <v>0.19930555555555499</v>
      </c>
      <c r="G47" s="3">
        <f ca="1">IFERROR(__xludf.DUMMYFUNCTION("""COMPUTED_VALUE"""),0.206944444444444)</f>
        <v>0.20694444444444399</v>
      </c>
      <c r="H47" s="3">
        <f ca="1">IFERROR(__xludf.DUMMYFUNCTION("""COMPUTED_VALUE"""),0.215277777777777)</f>
        <v>0.21527777777777701</v>
      </c>
      <c r="I47" s="3">
        <f ca="1">IFERROR(__xludf.DUMMYFUNCTION("""COMPUTED_VALUE"""),0.222222222222222)</f>
        <v>0.22222222222222199</v>
      </c>
      <c r="J47" s="3">
        <f ca="1">IFERROR(__xludf.DUMMYFUNCTION("""COMPUTED_VALUE"""),0.227777777777777)</f>
        <v>0.227777777777777</v>
      </c>
      <c r="K47" s="3">
        <f ca="1">IFERROR(__xludf.DUMMYFUNCTION("""COMPUTED_VALUE"""),0.229166666666666)</f>
        <v>0.22916666666666599</v>
      </c>
      <c r="M47" s="3">
        <f t="shared" ref="M47:V47" ca="1" si="18">B47+0.5</f>
        <v>0.67152777777777706</v>
      </c>
      <c r="N47" s="3">
        <f t="shared" ca="1" si="18"/>
        <v>0.67916666666666603</v>
      </c>
      <c r="O47" s="3">
        <f t="shared" ca="1" si="18"/>
        <v>0.68472222222222201</v>
      </c>
      <c r="P47" s="3">
        <f t="shared" ca="1" si="18"/>
        <v>0.69027777777777699</v>
      </c>
      <c r="Q47" s="3">
        <f t="shared" ca="1" si="18"/>
        <v>0.69930555555555496</v>
      </c>
      <c r="R47" s="3">
        <f t="shared" ca="1" si="18"/>
        <v>0.70694444444444393</v>
      </c>
      <c r="S47" s="3">
        <f t="shared" ca="1" si="18"/>
        <v>0.71527777777777701</v>
      </c>
      <c r="T47" s="3">
        <f t="shared" ca="1" si="18"/>
        <v>0.72222222222222199</v>
      </c>
      <c r="U47" s="3">
        <f t="shared" ca="1" si="18"/>
        <v>0.72777777777777697</v>
      </c>
      <c r="V47" s="3">
        <f t="shared" ca="1" si="18"/>
        <v>0.72916666666666596</v>
      </c>
      <c r="W47" s="4">
        <f t="shared" ca="1" si="0"/>
        <v>5.7638888888888906E-2</v>
      </c>
      <c r="X47" s="6">
        <v>46</v>
      </c>
    </row>
    <row r="48" spans="1:24" ht="15.75" customHeight="1" x14ac:dyDescent="0.15">
      <c r="A48" s="2" t="s">
        <v>56</v>
      </c>
      <c r="B48" s="3">
        <f ca="1">IFERROR(__xludf.DUMMYFUNCTION("SPLIT(A48,"" "")"),0.181944444444444)</f>
        <v>0.18194444444444399</v>
      </c>
      <c r="C48" s="3">
        <f ca="1">IFERROR(__xludf.DUMMYFUNCTION("""COMPUTED_VALUE"""),0.189583333333333)</f>
        <v>0.18958333333333299</v>
      </c>
      <c r="D48" s="3">
        <f ca="1">IFERROR(__xludf.DUMMYFUNCTION("""COMPUTED_VALUE"""),0.195138888888888)</f>
        <v>0.195138888888888</v>
      </c>
      <c r="E48" s="3">
        <f ca="1">IFERROR(__xludf.DUMMYFUNCTION("""COMPUTED_VALUE"""),0.200694444444444)</f>
        <v>0.20069444444444401</v>
      </c>
      <c r="F48" s="3">
        <f ca="1">IFERROR(__xludf.DUMMYFUNCTION("""COMPUTED_VALUE"""),0.209722222222222)</f>
        <v>0.209722222222222</v>
      </c>
      <c r="G48" s="3">
        <f ca="1">IFERROR(__xludf.DUMMYFUNCTION("""COMPUTED_VALUE"""),0.217361111111111)</f>
        <v>0.21736111111111101</v>
      </c>
      <c r="H48" s="3">
        <f ca="1">IFERROR(__xludf.DUMMYFUNCTION("""COMPUTED_VALUE"""),0.225694444444444)</f>
        <v>0.225694444444444</v>
      </c>
      <c r="I48" s="3">
        <f ca="1">IFERROR(__xludf.DUMMYFUNCTION("""COMPUTED_VALUE"""),0.232638888888888)</f>
        <v>0.23263888888888801</v>
      </c>
      <c r="J48" s="3">
        <f ca="1">IFERROR(__xludf.DUMMYFUNCTION("""COMPUTED_VALUE"""),0.238194444444444)</f>
        <v>0.23819444444444399</v>
      </c>
      <c r="K48" s="3">
        <f ca="1">IFERROR(__xludf.DUMMYFUNCTION("""COMPUTED_VALUE"""),0.239583333333333)</f>
        <v>0.23958333333333301</v>
      </c>
      <c r="M48" s="3">
        <f t="shared" ref="M48:V48" ca="1" si="19">B48+0.5</f>
        <v>0.68194444444444402</v>
      </c>
      <c r="N48" s="3">
        <f t="shared" ca="1" si="19"/>
        <v>0.68958333333333299</v>
      </c>
      <c r="O48" s="3">
        <f t="shared" ca="1" si="19"/>
        <v>0.69513888888888797</v>
      </c>
      <c r="P48" s="3">
        <f t="shared" ca="1" si="19"/>
        <v>0.70069444444444406</v>
      </c>
      <c r="Q48" s="3">
        <f t="shared" ca="1" si="19"/>
        <v>0.70972222222222203</v>
      </c>
      <c r="R48" s="3">
        <f t="shared" ca="1" si="19"/>
        <v>0.71736111111111101</v>
      </c>
      <c r="S48" s="3">
        <f t="shared" ca="1" si="19"/>
        <v>0.72569444444444398</v>
      </c>
      <c r="T48" s="3">
        <f t="shared" ca="1" si="19"/>
        <v>0.73263888888888795</v>
      </c>
      <c r="U48" s="3">
        <f t="shared" ca="1" si="19"/>
        <v>0.73819444444444393</v>
      </c>
      <c r="V48" s="3">
        <f t="shared" ca="1" si="19"/>
        <v>0.73958333333333304</v>
      </c>
      <c r="W48" s="4">
        <f t="shared" ca="1" si="0"/>
        <v>5.7638888888889017E-2</v>
      </c>
      <c r="X48" s="6">
        <v>47</v>
      </c>
    </row>
    <row r="49" spans="1:24" ht="15.75" customHeight="1" x14ac:dyDescent="0.15">
      <c r="A49" s="2" t="s">
        <v>57</v>
      </c>
      <c r="B49" s="3">
        <f ca="1">IFERROR(__xludf.DUMMYFUNCTION("SPLIT(A49,"" "")"),0.192361111111111)</f>
        <v>0.19236111111111101</v>
      </c>
      <c r="C49" s="3">
        <f ca="1">IFERROR(__xludf.DUMMYFUNCTION("""COMPUTED_VALUE"""),0.2)</f>
        <v>0.2</v>
      </c>
      <c r="D49" s="3">
        <f ca="1">IFERROR(__xludf.DUMMYFUNCTION("""COMPUTED_VALUE"""),0.205555555555555)</f>
        <v>0.20555555555555499</v>
      </c>
      <c r="E49" s="3">
        <f ca="1">IFERROR(__xludf.DUMMYFUNCTION("""COMPUTED_VALUE"""),0.211111111111111)</f>
        <v>0.211111111111111</v>
      </c>
      <c r="F49" s="3">
        <f ca="1">IFERROR(__xludf.DUMMYFUNCTION("""COMPUTED_VALUE"""),0.220138888888888)</f>
        <v>0.220138888888888</v>
      </c>
      <c r="G49" s="3">
        <f ca="1">IFERROR(__xludf.DUMMYFUNCTION("""COMPUTED_VALUE"""),0.227777777777777)</f>
        <v>0.227777777777777</v>
      </c>
      <c r="H49" s="3">
        <f ca="1">IFERROR(__xludf.DUMMYFUNCTION("""COMPUTED_VALUE"""),0.236111111111111)</f>
        <v>0.23611111111111099</v>
      </c>
      <c r="I49" s="3">
        <f ca="1">IFERROR(__xludf.DUMMYFUNCTION("""COMPUTED_VALUE"""),0.243055555555555)</f>
        <v>0.243055555555555</v>
      </c>
      <c r="J49" s="3">
        <f ca="1">IFERROR(__xludf.DUMMYFUNCTION("""COMPUTED_VALUE"""),0.248611111111111)</f>
        <v>0.24861111111111101</v>
      </c>
      <c r="K49" s="3">
        <f ca="1">IFERROR(__xludf.DUMMYFUNCTION("""COMPUTED_VALUE"""),0.25)</f>
        <v>0.25</v>
      </c>
      <c r="M49" s="3">
        <f t="shared" ref="M49:V49" ca="1" si="20">B49+0.5</f>
        <v>0.69236111111111098</v>
      </c>
      <c r="N49" s="3">
        <f t="shared" ca="1" si="20"/>
        <v>0.7</v>
      </c>
      <c r="O49" s="3">
        <f t="shared" ca="1" si="20"/>
        <v>0.70555555555555505</v>
      </c>
      <c r="P49" s="3">
        <f t="shared" ca="1" si="20"/>
        <v>0.71111111111111103</v>
      </c>
      <c r="Q49" s="3">
        <f t="shared" ca="1" si="20"/>
        <v>0.720138888888888</v>
      </c>
      <c r="R49" s="3">
        <f t="shared" ca="1" si="20"/>
        <v>0.72777777777777697</v>
      </c>
      <c r="S49" s="3">
        <f t="shared" ca="1" si="20"/>
        <v>0.73611111111111094</v>
      </c>
      <c r="T49" s="3">
        <f t="shared" ca="1" si="20"/>
        <v>0.74305555555555503</v>
      </c>
      <c r="U49" s="3">
        <f t="shared" ca="1" si="20"/>
        <v>0.74861111111111101</v>
      </c>
      <c r="V49" s="3">
        <f t="shared" ca="1" si="20"/>
        <v>0.75</v>
      </c>
      <c r="W49" s="4">
        <f t="shared" ca="1" si="0"/>
        <v>5.7638888888889017E-2</v>
      </c>
      <c r="X49" s="6">
        <v>48</v>
      </c>
    </row>
    <row r="50" spans="1:24" ht="15.75" customHeight="1" x14ac:dyDescent="0.15">
      <c r="A50" s="2" t="s">
        <v>58</v>
      </c>
      <c r="B50" s="3">
        <f ca="1">IFERROR(__xludf.DUMMYFUNCTION("SPLIT(A50,"" "")"),0.202777777777777)</f>
        <v>0.202777777777777</v>
      </c>
      <c r="C50" s="3">
        <f ca="1">IFERROR(__xludf.DUMMYFUNCTION("""COMPUTED_VALUE"""),0.210416666666666)</f>
        <v>0.210416666666666</v>
      </c>
      <c r="D50" s="3">
        <f ca="1">IFERROR(__xludf.DUMMYFUNCTION("""COMPUTED_VALUE"""),0.215972222222222)</f>
        <v>0.21597222222222201</v>
      </c>
      <c r="E50" s="3">
        <f ca="1">IFERROR(__xludf.DUMMYFUNCTION("""COMPUTED_VALUE"""),0.221527777777777)</f>
        <v>0.22152777777777699</v>
      </c>
      <c r="F50" s="3">
        <f ca="1">IFERROR(__xludf.DUMMYFUNCTION("""COMPUTED_VALUE"""),0.230555555555555)</f>
        <v>0.23055555555555499</v>
      </c>
      <c r="G50" s="3">
        <f ca="1">IFERROR(__xludf.DUMMYFUNCTION("""COMPUTED_VALUE"""),0.238194444444444)</f>
        <v>0.23819444444444399</v>
      </c>
      <c r="H50" s="3">
        <f ca="1">IFERROR(__xludf.DUMMYFUNCTION("""COMPUTED_VALUE"""),0.246527777777777)</f>
        <v>0.24652777777777701</v>
      </c>
      <c r="I50" s="3">
        <f ca="1">IFERROR(__xludf.DUMMYFUNCTION("""COMPUTED_VALUE"""),0.253472222222222)</f>
        <v>0.25347222222222199</v>
      </c>
      <c r="J50" s="3">
        <f ca="1">IFERROR(__xludf.DUMMYFUNCTION("""COMPUTED_VALUE"""),0.259027777777777)</f>
        <v>0.25902777777777702</v>
      </c>
      <c r="K50" s="3">
        <f ca="1">IFERROR(__xludf.DUMMYFUNCTION("""COMPUTED_VALUE"""),0.260416666666666)</f>
        <v>0.26041666666666602</v>
      </c>
      <c r="M50" s="3">
        <f t="shared" ref="M50:V50" ca="1" si="21">B50+0.5</f>
        <v>0.70277777777777706</v>
      </c>
      <c r="N50" s="3">
        <f t="shared" ca="1" si="21"/>
        <v>0.71041666666666603</v>
      </c>
      <c r="O50" s="3">
        <f t="shared" ca="1" si="21"/>
        <v>0.71597222222222201</v>
      </c>
      <c r="P50" s="3">
        <f t="shared" ca="1" si="21"/>
        <v>0.72152777777777699</v>
      </c>
      <c r="Q50" s="3">
        <f t="shared" ca="1" si="21"/>
        <v>0.73055555555555496</v>
      </c>
      <c r="R50" s="3">
        <f t="shared" ca="1" si="21"/>
        <v>0.73819444444444393</v>
      </c>
      <c r="S50" s="3">
        <f t="shared" ca="1" si="21"/>
        <v>0.74652777777777701</v>
      </c>
      <c r="T50" s="3">
        <f t="shared" ca="1" si="21"/>
        <v>0.75347222222222199</v>
      </c>
      <c r="U50" s="3">
        <f t="shared" ca="1" si="21"/>
        <v>0.75902777777777697</v>
      </c>
      <c r="V50" s="3">
        <f t="shared" ca="1" si="21"/>
        <v>0.76041666666666607</v>
      </c>
      <c r="W50" s="4">
        <f t="shared" ca="1" si="0"/>
        <v>5.7638888888889017E-2</v>
      </c>
      <c r="X50" s="6">
        <v>49</v>
      </c>
    </row>
    <row r="51" spans="1:24" ht="15.75" customHeight="1" x14ac:dyDescent="0.15">
      <c r="A51" s="2" t="s">
        <v>59</v>
      </c>
      <c r="B51" s="3">
        <f ca="1">IFERROR(__xludf.DUMMYFUNCTION("SPLIT(A51,"" "")"),0.213194444444444)</f>
        <v>0.21319444444444399</v>
      </c>
      <c r="C51" s="3">
        <f ca="1">IFERROR(__xludf.DUMMYFUNCTION("""COMPUTED_VALUE"""),0.220833333333333)</f>
        <v>0.22083333333333299</v>
      </c>
      <c r="D51" s="3">
        <f ca="1">IFERROR(__xludf.DUMMYFUNCTION("""COMPUTED_VALUE"""),0.226388888888888)</f>
        <v>0.226388888888888</v>
      </c>
      <c r="E51" s="3">
        <f ca="1">IFERROR(__xludf.DUMMYFUNCTION("""COMPUTED_VALUE"""),0.231944444444444)</f>
        <v>0.23194444444444401</v>
      </c>
      <c r="F51" s="3">
        <f ca="1">IFERROR(__xludf.DUMMYFUNCTION("""COMPUTED_VALUE"""),0.240972222222222)</f>
        <v>0.240972222222222</v>
      </c>
      <c r="G51" s="3">
        <f ca="1">IFERROR(__xludf.DUMMYFUNCTION("""COMPUTED_VALUE"""),0.248611111111111)</f>
        <v>0.24861111111111101</v>
      </c>
      <c r="H51" s="3">
        <f ca="1">IFERROR(__xludf.DUMMYFUNCTION("""COMPUTED_VALUE"""),0.256944444444444)</f>
        <v>0.25694444444444398</v>
      </c>
      <c r="I51" s="3">
        <f ca="1">IFERROR(__xludf.DUMMYFUNCTION("""COMPUTED_VALUE"""),0.263888888888888)</f>
        <v>0.26388888888888801</v>
      </c>
      <c r="J51" s="3">
        <f ca="1">IFERROR(__xludf.DUMMYFUNCTION("""COMPUTED_VALUE"""),0.269444444444444)</f>
        <v>0.26944444444444399</v>
      </c>
      <c r="K51" s="3">
        <f ca="1">IFERROR(__xludf.DUMMYFUNCTION("""COMPUTED_VALUE"""),0.270833333333333)</f>
        <v>0.27083333333333298</v>
      </c>
      <c r="M51" s="3">
        <f t="shared" ref="M51:V51" ca="1" si="22">B51+0.5</f>
        <v>0.71319444444444402</v>
      </c>
      <c r="N51" s="3">
        <f t="shared" ca="1" si="22"/>
        <v>0.72083333333333299</v>
      </c>
      <c r="O51" s="3">
        <f t="shared" ca="1" si="22"/>
        <v>0.72638888888888797</v>
      </c>
      <c r="P51" s="3">
        <f t="shared" ca="1" si="22"/>
        <v>0.73194444444444406</v>
      </c>
      <c r="Q51" s="3">
        <f t="shared" ca="1" si="22"/>
        <v>0.74097222222222203</v>
      </c>
      <c r="R51" s="3">
        <f t="shared" ca="1" si="22"/>
        <v>0.74861111111111101</v>
      </c>
      <c r="S51" s="3">
        <f t="shared" ca="1" si="22"/>
        <v>0.75694444444444398</v>
      </c>
      <c r="T51" s="3">
        <f t="shared" ca="1" si="22"/>
        <v>0.76388888888888795</v>
      </c>
      <c r="U51" s="3">
        <f t="shared" ca="1" si="22"/>
        <v>0.76944444444444393</v>
      </c>
      <c r="V51" s="3">
        <f t="shared" ca="1" si="22"/>
        <v>0.77083333333333304</v>
      </c>
      <c r="W51" s="4">
        <f t="shared" ca="1" si="0"/>
        <v>5.7638888888889017E-2</v>
      </c>
      <c r="X51" s="6">
        <v>50</v>
      </c>
    </row>
    <row r="52" spans="1:24" ht="15.75" customHeight="1" x14ac:dyDescent="0.15">
      <c r="A52" s="2" t="s">
        <v>60</v>
      </c>
      <c r="B52" s="3">
        <f ca="1">IFERROR(__xludf.DUMMYFUNCTION("SPLIT(A52,"" "")"),0.223611111111111)</f>
        <v>0.22361111111111101</v>
      </c>
      <c r="C52" s="3">
        <f ca="1">IFERROR(__xludf.DUMMYFUNCTION("""COMPUTED_VALUE"""),0.23125)</f>
        <v>0.23125000000000001</v>
      </c>
      <c r="D52" s="3">
        <f ca="1">IFERROR(__xludf.DUMMYFUNCTION("""COMPUTED_VALUE"""),0.236805555555555)</f>
        <v>0.23680555555555499</v>
      </c>
      <c r="E52" s="3">
        <f ca="1">IFERROR(__xludf.DUMMYFUNCTION("""COMPUTED_VALUE"""),0.242361111111111)</f>
        <v>0.242361111111111</v>
      </c>
      <c r="F52" s="3">
        <f ca="1">IFERROR(__xludf.DUMMYFUNCTION("""COMPUTED_VALUE"""),0.251388888888888)</f>
        <v>0.251388888888888</v>
      </c>
      <c r="G52" s="3">
        <f ca="1">IFERROR(__xludf.DUMMYFUNCTION("""COMPUTED_VALUE"""),0.259027777777777)</f>
        <v>0.25902777777777702</v>
      </c>
      <c r="H52" s="3">
        <f ca="1">IFERROR(__xludf.DUMMYFUNCTION("""COMPUTED_VALUE"""),0.267361111111111)</f>
        <v>0.26736111111111099</v>
      </c>
      <c r="I52" s="3">
        <f ca="1">IFERROR(__xludf.DUMMYFUNCTION("""COMPUTED_VALUE"""),0.274305555555555)</f>
        <v>0.27430555555555503</v>
      </c>
      <c r="J52" s="3">
        <f ca="1">IFERROR(__xludf.DUMMYFUNCTION("""COMPUTED_VALUE"""),0.279861111111111)</f>
        <v>0.27986111111111101</v>
      </c>
      <c r="K52" s="3">
        <f ca="1">IFERROR(__xludf.DUMMYFUNCTION("""COMPUTED_VALUE"""),0.28125)</f>
        <v>0.28125</v>
      </c>
      <c r="M52" s="3">
        <f t="shared" ref="M52:V52" ca="1" si="23">B52+0.5</f>
        <v>0.72361111111111098</v>
      </c>
      <c r="N52" s="3">
        <f t="shared" ca="1" si="23"/>
        <v>0.73124999999999996</v>
      </c>
      <c r="O52" s="3">
        <f t="shared" ca="1" si="23"/>
        <v>0.73680555555555505</v>
      </c>
      <c r="P52" s="3">
        <f t="shared" ca="1" si="23"/>
        <v>0.74236111111111103</v>
      </c>
      <c r="Q52" s="3">
        <f t="shared" ca="1" si="23"/>
        <v>0.751388888888888</v>
      </c>
      <c r="R52" s="3">
        <f t="shared" ca="1" si="23"/>
        <v>0.75902777777777697</v>
      </c>
      <c r="S52" s="3">
        <f t="shared" ca="1" si="23"/>
        <v>0.76736111111111094</v>
      </c>
      <c r="T52" s="3">
        <f t="shared" ca="1" si="23"/>
        <v>0.77430555555555503</v>
      </c>
      <c r="U52" s="3">
        <f t="shared" ca="1" si="23"/>
        <v>0.77986111111111101</v>
      </c>
      <c r="V52" s="3">
        <f t="shared" ca="1" si="23"/>
        <v>0.78125</v>
      </c>
      <c r="W52" s="4">
        <f t="shared" ca="1" si="0"/>
        <v>5.7638888888889017E-2</v>
      </c>
      <c r="X52" s="6">
        <v>51</v>
      </c>
    </row>
    <row r="53" spans="1:24" ht="13" x14ac:dyDescent="0.15">
      <c r="A53" s="2" t="s">
        <v>61</v>
      </c>
      <c r="B53" s="3">
        <f ca="1">IFERROR(__xludf.DUMMYFUNCTION("SPLIT(A53,"" "")"),0.234027777777777)</f>
        <v>0.234027777777777</v>
      </c>
      <c r="C53" s="3">
        <f ca="1">IFERROR(__xludf.DUMMYFUNCTION("""COMPUTED_VALUE"""),0.241666666666666)</f>
        <v>0.241666666666666</v>
      </c>
      <c r="D53" s="3">
        <f ca="1">IFERROR(__xludf.DUMMYFUNCTION("""COMPUTED_VALUE"""),0.247222222222222)</f>
        <v>0.24722222222222201</v>
      </c>
      <c r="E53" s="3">
        <f ca="1">IFERROR(__xludf.DUMMYFUNCTION("""COMPUTED_VALUE"""),0.252777777777777)</f>
        <v>0.25277777777777699</v>
      </c>
      <c r="F53" s="3">
        <f ca="1">IFERROR(__xludf.DUMMYFUNCTION("""COMPUTED_VALUE"""),0.261805555555555)</f>
        <v>0.26180555555555501</v>
      </c>
      <c r="G53" s="3">
        <f ca="1">IFERROR(__xludf.DUMMYFUNCTION("""COMPUTED_VALUE"""),0.269444444444444)</f>
        <v>0.26944444444444399</v>
      </c>
      <c r="H53" s="3">
        <f ca="1">IFERROR(__xludf.DUMMYFUNCTION("""COMPUTED_VALUE"""),0.277777777777777)</f>
        <v>0.27777777777777701</v>
      </c>
      <c r="I53" s="3">
        <f ca="1">IFERROR(__xludf.DUMMYFUNCTION("""COMPUTED_VALUE"""),0.284722222222222)</f>
        <v>0.28472222222222199</v>
      </c>
      <c r="J53" s="3">
        <f ca="1">IFERROR(__xludf.DUMMYFUNCTION("""COMPUTED_VALUE"""),0.290277777777777)</f>
        <v>0.29027777777777702</v>
      </c>
      <c r="K53" s="3">
        <f ca="1">IFERROR(__xludf.DUMMYFUNCTION("""COMPUTED_VALUE"""),0.291666666666666)</f>
        <v>0.29166666666666602</v>
      </c>
      <c r="M53" s="3">
        <f t="shared" ref="M53:V53" ca="1" si="24">B53+0.5</f>
        <v>0.73402777777777706</v>
      </c>
      <c r="N53" s="3">
        <f t="shared" ca="1" si="24"/>
        <v>0.74166666666666603</v>
      </c>
      <c r="O53" s="3">
        <f t="shared" ca="1" si="24"/>
        <v>0.74722222222222201</v>
      </c>
      <c r="P53" s="3">
        <f t="shared" ca="1" si="24"/>
        <v>0.75277777777777699</v>
      </c>
      <c r="Q53" s="3">
        <f t="shared" ca="1" si="24"/>
        <v>0.76180555555555496</v>
      </c>
      <c r="R53" s="3">
        <f t="shared" ca="1" si="24"/>
        <v>0.76944444444444393</v>
      </c>
      <c r="S53" s="3">
        <f t="shared" ca="1" si="24"/>
        <v>0.77777777777777701</v>
      </c>
      <c r="T53" s="3">
        <f t="shared" ca="1" si="24"/>
        <v>0.78472222222222199</v>
      </c>
      <c r="U53" s="3">
        <f t="shared" ca="1" si="24"/>
        <v>0.79027777777777697</v>
      </c>
      <c r="V53" s="3">
        <f t="shared" ca="1" si="24"/>
        <v>0.79166666666666607</v>
      </c>
      <c r="W53" s="4">
        <f t="shared" ca="1" si="0"/>
        <v>5.7638888888889017E-2</v>
      </c>
      <c r="X53" s="6">
        <v>52</v>
      </c>
    </row>
    <row r="54" spans="1:24" ht="13" x14ac:dyDescent="0.15">
      <c r="A54" s="2" t="s">
        <v>62</v>
      </c>
      <c r="B54" s="3">
        <f ca="1">IFERROR(__xludf.DUMMYFUNCTION("SPLIT(A54,"" "")"),0.244444444444444)</f>
        <v>0.24444444444444399</v>
      </c>
      <c r="C54" s="3">
        <f ca="1">IFERROR(__xludf.DUMMYFUNCTION("""COMPUTED_VALUE"""),0.252083333333333)</f>
        <v>0.25208333333333299</v>
      </c>
      <c r="D54" s="3">
        <f ca="1">IFERROR(__xludf.DUMMYFUNCTION("""COMPUTED_VALUE"""),0.257638888888888)</f>
        <v>0.25763888888888797</v>
      </c>
      <c r="E54" s="3">
        <f ca="1">IFERROR(__xludf.DUMMYFUNCTION("""COMPUTED_VALUE"""),0.263194444444444)</f>
        <v>0.26319444444444401</v>
      </c>
      <c r="F54" s="3">
        <f ca="1">IFERROR(__xludf.DUMMYFUNCTION("""COMPUTED_VALUE"""),0.272222222222222)</f>
        <v>0.27222222222222198</v>
      </c>
      <c r="G54" s="3">
        <f ca="1">IFERROR(__xludf.DUMMYFUNCTION("""COMPUTED_VALUE"""),0.279861111111111)</f>
        <v>0.27986111111111101</v>
      </c>
      <c r="H54" s="3">
        <f ca="1">IFERROR(__xludf.DUMMYFUNCTION("""COMPUTED_VALUE"""),0.288194444444444)</f>
        <v>0.28819444444444398</v>
      </c>
      <c r="I54" s="3">
        <f ca="1">IFERROR(__xludf.DUMMYFUNCTION("""COMPUTED_VALUE"""),0.295138888888888)</f>
        <v>0.29513888888888801</v>
      </c>
      <c r="J54" s="3">
        <f ca="1">IFERROR(__xludf.DUMMYFUNCTION("""COMPUTED_VALUE"""),0.300694444444444)</f>
        <v>0.30069444444444399</v>
      </c>
      <c r="K54" s="3">
        <f ca="1">IFERROR(__xludf.DUMMYFUNCTION("""COMPUTED_VALUE"""),0.302083333333333)</f>
        <v>0.30208333333333298</v>
      </c>
      <c r="M54" s="3">
        <f t="shared" ref="M54:V54" ca="1" si="25">B54+0.5</f>
        <v>0.74444444444444402</v>
      </c>
      <c r="N54" s="3">
        <f t="shared" ca="1" si="25"/>
        <v>0.75208333333333299</v>
      </c>
      <c r="O54" s="3">
        <f t="shared" ca="1" si="25"/>
        <v>0.75763888888888797</v>
      </c>
      <c r="P54" s="3">
        <f t="shared" ca="1" si="25"/>
        <v>0.76319444444444406</v>
      </c>
      <c r="Q54" s="3">
        <f t="shared" ca="1" si="25"/>
        <v>0.77222222222222192</v>
      </c>
      <c r="R54" s="3">
        <f t="shared" ca="1" si="25"/>
        <v>0.77986111111111101</v>
      </c>
      <c r="S54" s="3">
        <f t="shared" ca="1" si="25"/>
        <v>0.78819444444444398</v>
      </c>
      <c r="T54" s="3">
        <f t="shared" ca="1" si="25"/>
        <v>0.79513888888888795</v>
      </c>
      <c r="U54" s="3">
        <f t="shared" ca="1" si="25"/>
        <v>0.80069444444444393</v>
      </c>
      <c r="V54" s="3">
        <f t="shared" ca="1" si="25"/>
        <v>0.80208333333333304</v>
      </c>
      <c r="W54" s="4">
        <f t="shared" ca="1" si="0"/>
        <v>5.7638888888889017E-2</v>
      </c>
      <c r="X54" s="6">
        <v>53</v>
      </c>
    </row>
    <row r="55" spans="1:24" ht="13" x14ac:dyDescent="0.15">
      <c r="A55" s="2" t="s">
        <v>63</v>
      </c>
      <c r="B55" s="3">
        <f ca="1">IFERROR(__xludf.DUMMYFUNCTION("SPLIT(A55,"" "")"),0.254861111111111)</f>
        <v>0.25486111111111098</v>
      </c>
      <c r="C55" s="3">
        <f ca="1">IFERROR(__xludf.DUMMYFUNCTION("""COMPUTED_VALUE"""),0.2625)</f>
        <v>0.26250000000000001</v>
      </c>
      <c r="D55" s="3">
        <f ca="1">IFERROR(__xludf.DUMMYFUNCTION("""COMPUTED_VALUE"""),0.268055555555555)</f>
        <v>0.26805555555555499</v>
      </c>
      <c r="E55" s="3">
        <f ca="1">IFERROR(__xludf.DUMMYFUNCTION("""COMPUTED_VALUE"""),0.273611111111111)</f>
        <v>0.27361111111111103</v>
      </c>
      <c r="F55" s="3">
        <f ca="1">IFERROR(__xludf.DUMMYFUNCTION("""COMPUTED_VALUE"""),0.282638888888888)</f>
        <v>0.282638888888888</v>
      </c>
      <c r="G55" s="3">
        <f ca="1">IFERROR(__xludf.DUMMYFUNCTION("""COMPUTED_VALUE"""),0.290277777777777)</f>
        <v>0.29027777777777702</v>
      </c>
      <c r="H55" s="3">
        <f ca="1">IFERROR(__xludf.DUMMYFUNCTION("""COMPUTED_VALUE"""),0.298611111111111)</f>
        <v>0.29861111111111099</v>
      </c>
      <c r="I55" s="3">
        <f ca="1">IFERROR(__xludf.DUMMYFUNCTION("""COMPUTED_VALUE"""),0.305555555555555)</f>
        <v>0.30555555555555503</v>
      </c>
      <c r="J55" s="3">
        <f ca="1">IFERROR(__xludf.DUMMYFUNCTION("""COMPUTED_VALUE"""),0.311111111111111)</f>
        <v>0.31111111111111101</v>
      </c>
      <c r="K55" s="3">
        <f ca="1">IFERROR(__xludf.DUMMYFUNCTION("""COMPUTED_VALUE"""),0.3125)</f>
        <v>0.3125</v>
      </c>
      <c r="M55" s="3">
        <f t="shared" ref="M55:V55" ca="1" si="26">B55+0.5</f>
        <v>0.75486111111111098</v>
      </c>
      <c r="N55" s="3">
        <f t="shared" ca="1" si="26"/>
        <v>0.76249999999999996</v>
      </c>
      <c r="O55" s="3">
        <f t="shared" ca="1" si="26"/>
        <v>0.76805555555555505</v>
      </c>
      <c r="P55" s="3">
        <f t="shared" ca="1" si="26"/>
        <v>0.77361111111111103</v>
      </c>
      <c r="Q55" s="3">
        <f t="shared" ca="1" si="26"/>
        <v>0.782638888888888</v>
      </c>
      <c r="R55" s="3">
        <f t="shared" ca="1" si="26"/>
        <v>0.79027777777777697</v>
      </c>
      <c r="S55" s="3">
        <f t="shared" ca="1" si="26"/>
        <v>0.79861111111111094</v>
      </c>
      <c r="T55" s="3">
        <f t="shared" ca="1" si="26"/>
        <v>0.80555555555555503</v>
      </c>
      <c r="U55" s="3">
        <f t="shared" ca="1" si="26"/>
        <v>0.81111111111111101</v>
      </c>
      <c r="V55" s="3">
        <f t="shared" ca="1" si="26"/>
        <v>0.8125</v>
      </c>
      <c r="W55" s="4">
        <f t="shared" ca="1" si="0"/>
        <v>5.7638888888889017E-2</v>
      </c>
      <c r="X55" s="6">
        <v>54</v>
      </c>
    </row>
    <row r="56" spans="1:24" ht="13" x14ac:dyDescent="0.15">
      <c r="A56" s="2" t="s">
        <v>64</v>
      </c>
      <c r="B56" s="3">
        <f ca="1">IFERROR(__xludf.DUMMYFUNCTION("SPLIT(A56,"" "")"),0.265277777777777)</f>
        <v>0.265277777777777</v>
      </c>
      <c r="C56" s="3">
        <f ca="1">IFERROR(__xludf.DUMMYFUNCTION("""COMPUTED_VALUE"""),0.272916666666666)</f>
        <v>0.27291666666666597</v>
      </c>
      <c r="D56" s="3">
        <f ca="1">IFERROR(__xludf.DUMMYFUNCTION("""COMPUTED_VALUE"""),0.278472222222222)</f>
        <v>0.27847222222222201</v>
      </c>
      <c r="E56" s="3">
        <f ca="1">IFERROR(__xludf.DUMMYFUNCTION("""COMPUTED_VALUE"""),0.284027777777777)</f>
        <v>0.28402777777777699</v>
      </c>
      <c r="F56" s="3">
        <f ca="1">IFERROR(__xludf.DUMMYFUNCTION("""COMPUTED_VALUE"""),0.293055555555555)</f>
        <v>0.29305555555555501</v>
      </c>
      <c r="G56" s="3">
        <f ca="1">IFERROR(__xludf.DUMMYFUNCTION("""COMPUTED_VALUE"""),0.300694444444444)</f>
        <v>0.30069444444444399</v>
      </c>
      <c r="H56" s="3">
        <f ca="1">IFERROR(__xludf.DUMMYFUNCTION("""COMPUTED_VALUE"""),0.309027777777777)</f>
        <v>0.30902777777777701</v>
      </c>
      <c r="I56" s="3">
        <f ca="1">IFERROR(__xludf.DUMMYFUNCTION("""COMPUTED_VALUE"""),0.315972222222222)</f>
        <v>0.31597222222222199</v>
      </c>
      <c r="J56" s="3">
        <f ca="1">IFERROR(__xludf.DUMMYFUNCTION("""COMPUTED_VALUE"""),0.321527777777777)</f>
        <v>0.32152777777777702</v>
      </c>
      <c r="K56" s="3">
        <f ca="1">IFERROR(__xludf.DUMMYFUNCTION("""COMPUTED_VALUE"""),0.322916666666666)</f>
        <v>0.32291666666666602</v>
      </c>
      <c r="M56" s="3">
        <f t="shared" ref="M56:V56" ca="1" si="27">B56+0.5</f>
        <v>0.76527777777777706</v>
      </c>
      <c r="N56" s="3">
        <f t="shared" ca="1" si="27"/>
        <v>0.77291666666666603</v>
      </c>
      <c r="O56" s="3">
        <f t="shared" ca="1" si="27"/>
        <v>0.77847222222222201</v>
      </c>
      <c r="P56" s="3">
        <f t="shared" ca="1" si="27"/>
        <v>0.78402777777777699</v>
      </c>
      <c r="Q56" s="3">
        <f t="shared" ca="1" si="27"/>
        <v>0.79305555555555496</v>
      </c>
      <c r="R56" s="3">
        <f t="shared" ca="1" si="27"/>
        <v>0.80069444444444393</v>
      </c>
      <c r="S56" s="3">
        <f t="shared" ca="1" si="27"/>
        <v>0.80902777777777701</v>
      </c>
      <c r="T56" s="3">
        <f t="shared" ca="1" si="27"/>
        <v>0.81597222222222199</v>
      </c>
      <c r="U56" s="3">
        <f t="shared" ca="1" si="27"/>
        <v>0.82152777777777697</v>
      </c>
      <c r="V56" s="3">
        <f t="shared" ca="1" si="27"/>
        <v>0.82291666666666607</v>
      </c>
      <c r="W56" s="4">
        <f t="shared" ca="1" si="0"/>
        <v>5.7638888888889017E-2</v>
      </c>
      <c r="X56" s="6">
        <v>55</v>
      </c>
    </row>
    <row r="57" spans="1:24" ht="13" x14ac:dyDescent="0.15">
      <c r="A57" s="2" t="s">
        <v>65</v>
      </c>
      <c r="B57" s="3">
        <f ca="1">IFERROR(__xludf.DUMMYFUNCTION("SPLIT(A57,"" "")"),0.275694444444444)</f>
        <v>0.27569444444444402</v>
      </c>
      <c r="C57" s="3">
        <f ca="1">IFERROR(__xludf.DUMMYFUNCTION("""COMPUTED_VALUE"""),0.282638888888888)</f>
        <v>0.282638888888888</v>
      </c>
      <c r="D57" s="3">
        <f ca="1">IFERROR(__xludf.DUMMYFUNCTION("""COMPUTED_VALUE"""),0.2875)</f>
        <v>0.28749999999999998</v>
      </c>
      <c r="E57" s="3">
        <f ca="1">IFERROR(__xludf.DUMMYFUNCTION("""COMPUTED_VALUE"""),0.291666666666666)</f>
        <v>0.29166666666666602</v>
      </c>
      <c r="F57" s="3">
        <f ca="1">IFERROR(__xludf.DUMMYFUNCTION("""COMPUTED_VALUE"""),0.300694444444444)</f>
        <v>0.30069444444444399</v>
      </c>
      <c r="G57" s="3">
        <f ca="1">IFERROR(__xludf.DUMMYFUNCTION("""COMPUTED_VALUE"""),0.306944444444444)</f>
        <v>0.30694444444444402</v>
      </c>
      <c r="H57" s="3">
        <f ca="1">IFERROR(__xludf.DUMMYFUNCTION("""COMPUTED_VALUE"""),0.315277777777777)</f>
        <v>0.31527777777777699</v>
      </c>
      <c r="I57" s="3">
        <f ca="1">IFERROR(__xludf.DUMMYFUNCTION("""COMPUTED_VALUE"""),0.322222222222222)</f>
        <v>0.32222222222222202</v>
      </c>
      <c r="J57" s="3">
        <f ca="1">IFERROR(__xludf.DUMMYFUNCTION("""COMPUTED_VALUE"""),0.327777777777777)</f>
        <v>0.327777777777777</v>
      </c>
      <c r="K57" s="3">
        <f ca="1">IFERROR(__xludf.DUMMYFUNCTION("""COMPUTED_VALUE"""),0.328472222222222)</f>
        <v>0.328472222222222</v>
      </c>
      <c r="M57" s="3">
        <f t="shared" ref="M57:V57" ca="1" si="28">B57+0.5</f>
        <v>0.77569444444444402</v>
      </c>
      <c r="N57" s="3">
        <f t="shared" ca="1" si="28"/>
        <v>0.782638888888888</v>
      </c>
      <c r="O57" s="3">
        <f t="shared" ca="1" si="28"/>
        <v>0.78749999999999998</v>
      </c>
      <c r="P57" s="3">
        <f t="shared" ca="1" si="28"/>
        <v>0.79166666666666607</v>
      </c>
      <c r="Q57" s="3">
        <f t="shared" ca="1" si="28"/>
        <v>0.80069444444444393</v>
      </c>
      <c r="R57" s="3">
        <f t="shared" ca="1" si="28"/>
        <v>0.80694444444444402</v>
      </c>
      <c r="S57" s="3">
        <f t="shared" ca="1" si="28"/>
        <v>0.81527777777777699</v>
      </c>
      <c r="T57" s="3">
        <f t="shared" ca="1" si="28"/>
        <v>0.82222222222222197</v>
      </c>
      <c r="U57" s="3">
        <f t="shared" ca="1" si="28"/>
        <v>0.82777777777777706</v>
      </c>
      <c r="V57" s="3">
        <f t="shared" ca="1" si="28"/>
        <v>0.82847222222222205</v>
      </c>
      <c r="W57" s="4">
        <f t="shared" ca="1" si="0"/>
        <v>5.2777777777778034E-2</v>
      </c>
      <c r="X57" s="6">
        <v>56</v>
      </c>
    </row>
    <row r="58" spans="1:24" ht="13" x14ac:dyDescent="0.15">
      <c r="A58" s="2" t="s">
        <v>66</v>
      </c>
      <c r="B58" s="3">
        <f ca="1">IFERROR(__xludf.DUMMYFUNCTION("SPLIT(A58,"" "")"),0.286111111111111)</f>
        <v>0.28611111111111098</v>
      </c>
      <c r="C58" s="3">
        <f ca="1">IFERROR(__xludf.DUMMYFUNCTION("""COMPUTED_VALUE"""),0.293055555555555)</f>
        <v>0.29305555555555501</v>
      </c>
      <c r="D58" s="3">
        <f ca="1">IFERROR(__xludf.DUMMYFUNCTION("""COMPUTED_VALUE"""),0.297916666666666)</f>
        <v>0.297916666666666</v>
      </c>
      <c r="E58" s="3">
        <f ca="1">IFERROR(__xludf.DUMMYFUNCTION("""COMPUTED_VALUE"""),0.302083333333333)</f>
        <v>0.30208333333333298</v>
      </c>
      <c r="F58" s="3">
        <f ca="1">IFERROR(__xludf.DUMMYFUNCTION("""COMPUTED_VALUE"""),0.311111111111111)</f>
        <v>0.31111111111111101</v>
      </c>
      <c r="G58" s="3">
        <f ca="1">IFERROR(__xludf.DUMMYFUNCTION("""COMPUTED_VALUE"""),0.317361111111111)</f>
        <v>0.31736111111111098</v>
      </c>
      <c r="H58" s="3">
        <f ca="1">IFERROR(__xludf.DUMMYFUNCTION("""COMPUTED_VALUE"""),0.325694444444444)</f>
        <v>0.32569444444444401</v>
      </c>
      <c r="I58" s="3">
        <f ca="1">IFERROR(__xludf.DUMMYFUNCTION("""COMPUTED_VALUE"""),0.332638888888888)</f>
        <v>0.33263888888888798</v>
      </c>
      <c r="J58" s="3">
        <f ca="1">IFERROR(__xludf.DUMMYFUNCTION("""COMPUTED_VALUE"""),0.338194444444444)</f>
        <v>0.33819444444444402</v>
      </c>
      <c r="K58" s="3">
        <f ca="1">IFERROR(__xludf.DUMMYFUNCTION("""COMPUTED_VALUE"""),0.338888888888888)</f>
        <v>0.33888888888888802</v>
      </c>
      <c r="M58" s="3">
        <f t="shared" ref="M58:V58" ca="1" si="29">B58+0.5</f>
        <v>0.78611111111111098</v>
      </c>
      <c r="N58" s="3">
        <f t="shared" ca="1" si="29"/>
        <v>0.79305555555555496</v>
      </c>
      <c r="O58" s="3">
        <f t="shared" ca="1" si="29"/>
        <v>0.79791666666666594</v>
      </c>
      <c r="P58" s="3">
        <f t="shared" ca="1" si="29"/>
        <v>0.80208333333333304</v>
      </c>
      <c r="Q58" s="3">
        <f t="shared" ca="1" si="29"/>
        <v>0.81111111111111101</v>
      </c>
      <c r="R58" s="3">
        <f t="shared" ca="1" si="29"/>
        <v>0.81736111111111098</v>
      </c>
      <c r="S58" s="3">
        <f t="shared" ca="1" si="29"/>
        <v>0.82569444444444406</v>
      </c>
      <c r="T58" s="3">
        <f t="shared" ca="1" si="29"/>
        <v>0.83263888888888804</v>
      </c>
      <c r="U58" s="3">
        <f t="shared" ca="1" si="29"/>
        <v>0.83819444444444402</v>
      </c>
      <c r="V58" s="3">
        <f t="shared" ca="1" si="29"/>
        <v>0.83888888888888802</v>
      </c>
      <c r="W58" s="4">
        <f t="shared" ca="1" si="0"/>
        <v>5.2777777777777035E-2</v>
      </c>
      <c r="X58" s="6">
        <v>57</v>
      </c>
    </row>
    <row r="59" spans="1:24" ht="13" x14ac:dyDescent="0.15">
      <c r="A59" s="2" t="s">
        <v>67</v>
      </c>
      <c r="B59" s="3">
        <f ca="1">IFERROR(__xludf.DUMMYFUNCTION("SPLIT(A59,"" "")"),0.296527777777777)</f>
        <v>0.296527777777777</v>
      </c>
      <c r="C59" s="3">
        <f ca="1">IFERROR(__xludf.DUMMYFUNCTION("""COMPUTED_VALUE"""),0.303472222222222)</f>
        <v>0.30347222222222198</v>
      </c>
      <c r="D59" s="3">
        <f ca="1">IFERROR(__xludf.DUMMYFUNCTION("""COMPUTED_VALUE"""),0.308333333333333)</f>
        <v>0.30833333333333302</v>
      </c>
      <c r="E59" s="3">
        <f ca="1">IFERROR(__xludf.DUMMYFUNCTION("""COMPUTED_VALUE"""),0.3125)</f>
        <v>0.3125</v>
      </c>
      <c r="F59" s="3">
        <f ca="1">IFERROR(__xludf.DUMMYFUNCTION("""COMPUTED_VALUE"""),0.321527777777777)</f>
        <v>0.32152777777777702</v>
      </c>
      <c r="G59" s="3">
        <f ca="1">IFERROR(__xludf.DUMMYFUNCTION("""COMPUTED_VALUE"""),0.327777777777777)</f>
        <v>0.327777777777777</v>
      </c>
      <c r="H59" s="3">
        <f ca="1">IFERROR(__xludf.DUMMYFUNCTION("""COMPUTED_VALUE"""),0.336111111111111)</f>
        <v>0.33611111111111103</v>
      </c>
      <c r="I59" s="3">
        <f ca="1">IFERROR(__xludf.DUMMYFUNCTION("""COMPUTED_VALUE"""),0.343055555555555)</f>
        <v>0.343055555555555</v>
      </c>
      <c r="J59" s="3">
        <f ca="1">IFERROR(__xludf.DUMMYFUNCTION("""COMPUTED_VALUE"""),0.348611111111111)</f>
        <v>0.34861111111111098</v>
      </c>
      <c r="K59" s="3">
        <f ca="1">IFERROR(__xludf.DUMMYFUNCTION("""COMPUTED_VALUE"""),0.349305555555555)</f>
        <v>0.34930555555555498</v>
      </c>
      <c r="M59" s="3">
        <f t="shared" ref="M59:V59" ca="1" si="30">B59+0.5</f>
        <v>0.79652777777777706</v>
      </c>
      <c r="N59" s="3">
        <f t="shared" ca="1" si="30"/>
        <v>0.80347222222222192</v>
      </c>
      <c r="O59" s="3">
        <f t="shared" ca="1" si="30"/>
        <v>0.80833333333333302</v>
      </c>
      <c r="P59" s="3">
        <f t="shared" ca="1" si="30"/>
        <v>0.8125</v>
      </c>
      <c r="Q59" s="3">
        <f t="shared" ca="1" si="30"/>
        <v>0.82152777777777697</v>
      </c>
      <c r="R59" s="3">
        <f t="shared" ca="1" si="30"/>
        <v>0.82777777777777706</v>
      </c>
      <c r="S59" s="3">
        <f t="shared" ca="1" si="30"/>
        <v>0.83611111111111103</v>
      </c>
      <c r="T59" s="3">
        <f t="shared" ca="1" si="30"/>
        <v>0.843055555555555</v>
      </c>
      <c r="U59" s="3">
        <f t="shared" ca="1" si="30"/>
        <v>0.84861111111111098</v>
      </c>
      <c r="V59" s="3">
        <f t="shared" ca="1" si="30"/>
        <v>0.84930555555555498</v>
      </c>
      <c r="W59" s="4">
        <f t="shared" ca="1" si="0"/>
        <v>5.2777777777777923E-2</v>
      </c>
      <c r="X59" s="6">
        <v>58</v>
      </c>
    </row>
    <row r="60" spans="1:24" ht="13" x14ac:dyDescent="0.15">
      <c r="A60" s="2" t="s">
        <v>68</v>
      </c>
      <c r="B60" s="3">
        <f ca="1">IFERROR(__xludf.DUMMYFUNCTION("SPLIT(A60,"" "")"),0.306944444444444)</f>
        <v>0.30694444444444402</v>
      </c>
      <c r="C60" s="3">
        <f ca="1">IFERROR(__xludf.DUMMYFUNCTION("""COMPUTED_VALUE"""),0.313888888888888)</f>
        <v>0.313888888888888</v>
      </c>
      <c r="D60" s="3">
        <f ca="1">IFERROR(__xludf.DUMMYFUNCTION("""COMPUTED_VALUE"""),0.31875)</f>
        <v>0.31874999999999998</v>
      </c>
      <c r="E60" s="3">
        <f ca="1">IFERROR(__xludf.DUMMYFUNCTION("""COMPUTED_VALUE"""),0.322916666666666)</f>
        <v>0.32291666666666602</v>
      </c>
      <c r="F60" s="3">
        <f ca="1">IFERROR(__xludf.DUMMYFUNCTION("""COMPUTED_VALUE"""),0.331944444444444)</f>
        <v>0.33194444444444399</v>
      </c>
      <c r="G60" s="3">
        <f ca="1">IFERROR(__xludf.DUMMYFUNCTION("""COMPUTED_VALUE"""),0.338194444444444)</f>
        <v>0.33819444444444402</v>
      </c>
      <c r="H60" s="3">
        <f ca="1">IFERROR(__xludf.DUMMYFUNCTION("""COMPUTED_VALUE"""),0.346527777777777)</f>
        <v>0.34652777777777699</v>
      </c>
      <c r="I60" s="3">
        <f ca="1">IFERROR(__xludf.DUMMYFUNCTION("""COMPUTED_VALUE"""),0.353472222222222)</f>
        <v>0.35347222222222202</v>
      </c>
      <c r="J60" s="3">
        <f ca="1">IFERROR(__xludf.DUMMYFUNCTION("""COMPUTED_VALUE"""),0.359027777777777)</f>
        <v>0.359027777777777</v>
      </c>
      <c r="K60" s="3">
        <f ca="1">IFERROR(__xludf.DUMMYFUNCTION("""COMPUTED_VALUE"""),0.359722222222222)</f>
        <v>0.359722222222222</v>
      </c>
      <c r="M60" s="3">
        <f t="shared" ref="M60:V60" ca="1" si="31">B60+0.5</f>
        <v>0.80694444444444402</v>
      </c>
      <c r="N60" s="3">
        <f t="shared" ca="1" si="31"/>
        <v>0.813888888888888</v>
      </c>
      <c r="O60" s="3">
        <f t="shared" ca="1" si="31"/>
        <v>0.81874999999999998</v>
      </c>
      <c r="P60" s="3">
        <f t="shared" ca="1" si="31"/>
        <v>0.82291666666666607</v>
      </c>
      <c r="Q60" s="3">
        <f t="shared" ca="1" si="31"/>
        <v>0.83194444444444393</v>
      </c>
      <c r="R60" s="3">
        <f t="shared" ca="1" si="31"/>
        <v>0.83819444444444402</v>
      </c>
      <c r="S60" s="3">
        <f t="shared" ca="1" si="31"/>
        <v>0.84652777777777699</v>
      </c>
      <c r="T60" s="3">
        <f t="shared" ca="1" si="31"/>
        <v>0.85347222222222197</v>
      </c>
      <c r="U60" s="3">
        <f t="shared" ca="1" si="31"/>
        <v>0.85902777777777706</v>
      </c>
      <c r="V60" s="3">
        <f t="shared" ca="1" si="31"/>
        <v>0.85972222222222205</v>
      </c>
      <c r="W60" s="4">
        <f t="shared" ca="1" si="0"/>
        <v>5.2777777777778034E-2</v>
      </c>
      <c r="X60" s="6">
        <v>59</v>
      </c>
    </row>
    <row r="61" spans="1:24" ht="13" x14ac:dyDescent="0.15">
      <c r="A61" s="2" t="s">
        <v>69</v>
      </c>
      <c r="B61" s="3">
        <f ca="1">IFERROR(__xludf.DUMMYFUNCTION("SPLIT(A61,"" "")"),0.317361111111111)</f>
        <v>0.31736111111111098</v>
      </c>
      <c r="C61" s="3">
        <f ca="1">IFERROR(__xludf.DUMMYFUNCTION("""COMPUTED_VALUE"""),0.324305555555555)</f>
        <v>0.32430555555555501</v>
      </c>
      <c r="D61" s="3">
        <f ca="1">IFERROR(__xludf.DUMMYFUNCTION("""COMPUTED_VALUE"""),0.329166666666666)</f>
        <v>0.329166666666666</v>
      </c>
      <c r="E61" s="3">
        <f ca="1">IFERROR(__xludf.DUMMYFUNCTION("""COMPUTED_VALUE"""),0.333333333333333)</f>
        <v>0.33333333333333298</v>
      </c>
      <c r="F61" s="3">
        <f ca="1">IFERROR(__xludf.DUMMYFUNCTION("""COMPUTED_VALUE"""),0.342361111111111)</f>
        <v>0.34236111111111101</v>
      </c>
      <c r="G61" s="3">
        <f ca="1">IFERROR(__xludf.DUMMYFUNCTION("""COMPUTED_VALUE"""),0.348611111111111)</f>
        <v>0.34861111111111098</v>
      </c>
      <c r="H61" s="3">
        <f ca="1">IFERROR(__xludf.DUMMYFUNCTION("""COMPUTED_VALUE"""),0.356944444444444)</f>
        <v>0.35694444444444401</v>
      </c>
      <c r="I61" s="3">
        <f ca="1">IFERROR(__xludf.DUMMYFUNCTION("""COMPUTED_VALUE"""),0.363888888888888)</f>
        <v>0.36388888888888798</v>
      </c>
      <c r="J61" s="3">
        <f ca="1">IFERROR(__xludf.DUMMYFUNCTION("""COMPUTED_VALUE"""),0.369444444444444)</f>
        <v>0.36944444444444402</v>
      </c>
      <c r="K61" s="3">
        <f ca="1">IFERROR(__xludf.DUMMYFUNCTION("""COMPUTED_VALUE"""),0.370138888888888)</f>
        <v>0.37013888888888802</v>
      </c>
      <c r="M61" s="3">
        <f t="shared" ref="M61:V61" ca="1" si="32">B61+0.5</f>
        <v>0.81736111111111098</v>
      </c>
      <c r="N61" s="3">
        <f t="shared" ca="1" si="32"/>
        <v>0.82430555555555496</v>
      </c>
      <c r="O61" s="3">
        <f t="shared" ca="1" si="32"/>
        <v>0.82916666666666594</v>
      </c>
      <c r="P61" s="3">
        <f t="shared" ca="1" si="32"/>
        <v>0.83333333333333304</v>
      </c>
      <c r="Q61" s="3">
        <f t="shared" ca="1" si="32"/>
        <v>0.84236111111111101</v>
      </c>
      <c r="R61" s="3">
        <f t="shared" ca="1" si="32"/>
        <v>0.84861111111111098</v>
      </c>
      <c r="S61" s="3">
        <f t="shared" ca="1" si="32"/>
        <v>0.85694444444444406</v>
      </c>
      <c r="T61" s="3">
        <f t="shared" ca="1" si="32"/>
        <v>0.86388888888888804</v>
      </c>
      <c r="U61" s="3">
        <f t="shared" ca="1" si="32"/>
        <v>0.86944444444444402</v>
      </c>
      <c r="V61" s="3">
        <f t="shared" ca="1" si="32"/>
        <v>0.87013888888888802</v>
      </c>
      <c r="W61" s="4">
        <f t="shared" ca="1" si="0"/>
        <v>5.2777777777777035E-2</v>
      </c>
      <c r="X61" s="6">
        <v>60</v>
      </c>
    </row>
    <row r="62" spans="1:24" ht="13" x14ac:dyDescent="0.15">
      <c r="A62" s="2" t="s">
        <v>70</v>
      </c>
      <c r="B62" s="3">
        <f ca="1">IFERROR(__xludf.DUMMYFUNCTION("SPLIT(A62,"" "")"),0.327777777777777)</f>
        <v>0.327777777777777</v>
      </c>
      <c r="C62" s="3">
        <f ca="1">IFERROR(__xludf.DUMMYFUNCTION("""COMPUTED_VALUE"""),0.334027777777777)</f>
        <v>0.33402777777777698</v>
      </c>
      <c r="D62" s="3">
        <f ca="1">IFERROR(__xludf.DUMMYFUNCTION("""COMPUTED_VALUE"""),0.338888888888888)</f>
        <v>0.33888888888888802</v>
      </c>
      <c r="E62" s="3">
        <f ca="1">IFERROR(__xludf.DUMMYFUNCTION("""COMPUTED_VALUE"""),0.343055555555555)</f>
        <v>0.343055555555555</v>
      </c>
      <c r="F62" s="3">
        <f ca="1">IFERROR(__xludf.DUMMYFUNCTION("""COMPUTED_VALUE"""),0.350694444444444)</f>
        <v>0.35069444444444398</v>
      </c>
      <c r="G62" s="3">
        <f ca="1">IFERROR(__xludf.DUMMYFUNCTION("""COMPUTED_VALUE"""),0.355555555555555)</f>
        <v>0.35555555555555501</v>
      </c>
      <c r="H62" s="3">
        <f ca="1">IFERROR(__xludf.DUMMYFUNCTION("""COMPUTED_VALUE"""),0.361805555555555)</f>
        <v>0.36180555555555499</v>
      </c>
      <c r="I62" s="3">
        <f ca="1">IFERROR(__xludf.DUMMYFUNCTION("""COMPUTED_VALUE"""),0.368055555555555)</f>
        <v>0.36805555555555503</v>
      </c>
      <c r="J62" s="3">
        <f ca="1">IFERROR(__xludf.DUMMYFUNCTION("""COMPUTED_VALUE"""),0.373611111111111)</f>
        <v>0.37361111111111101</v>
      </c>
      <c r="K62" s="3">
        <f ca="1">IFERROR(__xludf.DUMMYFUNCTION("""COMPUTED_VALUE"""),0.374305555555555)</f>
        <v>0.374305555555555</v>
      </c>
      <c r="M62" s="3">
        <f t="shared" ref="M62:V62" ca="1" si="33">B62+0.5</f>
        <v>0.82777777777777706</v>
      </c>
      <c r="N62" s="3">
        <f t="shared" ca="1" si="33"/>
        <v>0.83402777777777692</v>
      </c>
      <c r="O62" s="3">
        <f t="shared" ca="1" si="33"/>
        <v>0.83888888888888802</v>
      </c>
      <c r="P62" s="3">
        <f t="shared" ca="1" si="33"/>
        <v>0.843055555555555</v>
      </c>
      <c r="Q62" s="3">
        <f t="shared" ca="1" si="33"/>
        <v>0.85069444444444398</v>
      </c>
      <c r="R62" s="3">
        <f t="shared" ca="1" si="33"/>
        <v>0.85555555555555496</v>
      </c>
      <c r="S62" s="3">
        <f t="shared" ca="1" si="33"/>
        <v>0.86180555555555505</v>
      </c>
      <c r="T62" s="3">
        <f t="shared" ca="1" si="33"/>
        <v>0.86805555555555503</v>
      </c>
      <c r="U62" s="3">
        <f t="shared" ca="1" si="33"/>
        <v>0.87361111111111101</v>
      </c>
      <c r="V62" s="3">
        <f t="shared" ca="1" si="33"/>
        <v>0.874305555555555</v>
      </c>
      <c r="W62" s="4">
        <f t="shared" ca="1" si="0"/>
        <v>4.6527777777777946E-2</v>
      </c>
      <c r="X62" s="6">
        <v>61</v>
      </c>
    </row>
    <row r="63" spans="1:24" ht="13" x14ac:dyDescent="0.15">
      <c r="A63" s="2" t="s">
        <v>71</v>
      </c>
      <c r="B63" s="3">
        <f ca="1">IFERROR(__xludf.DUMMYFUNCTION("SPLIT(A63,"" "")"),0.338194444444444)</f>
        <v>0.33819444444444402</v>
      </c>
      <c r="C63" s="3">
        <f ca="1">IFERROR(__xludf.DUMMYFUNCTION("""COMPUTED_VALUE"""),0.344444444444444)</f>
        <v>0.344444444444444</v>
      </c>
      <c r="D63" s="3">
        <f ca="1">IFERROR(__xludf.DUMMYFUNCTION("""COMPUTED_VALUE"""),0.349305555555555)</f>
        <v>0.34930555555555498</v>
      </c>
      <c r="E63" s="3">
        <f ca="1">IFERROR(__xludf.DUMMYFUNCTION("""COMPUTED_VALUE"""),0.353472222222222)</f>
        <v>0.35347222222222202</v>
      </c>
      <c r="F63" s="3">
        <f ca="1">IFERROR(__xludf.DUMMYFUNCTION("""COMPUTED_VALUE"""),0.361111111111111)</f>
        <v>0.36111111111111099</v>
      </c>
      <c r="G63" s="3">
        <f ca="1">IFERROR(__xludf.DUMMYFUNCTION("""COMPUTED_VALUE"""),0.365972222222222)</f>
        <v>0.36597222222222198</v>
      </c>
      <c r="H63" s="3">
        <f ca="1">IFERROR(__xludf.DUMMYFUNCTION("""COMPUTED_VALUE"""),0.372222222222222)</f>
        <v>0.37222222222222201</v>
      </c>
      <c r="I63" s="3">
        <f ca="1">IFERROR(__xludf.DUMMYFUNCTION("""COMPUTED_VALUE"""),0.378472222222222)</f>
        <v>0.37847222222222199</v>
      </c>
      <c r="J63" s="3">
        <f ca="1">IFERROR(__xludf.DUMMYFUNCTION("""COMPUTED_VALUE"""),0.384027777777777)</f>
        <v>0.38402777777777702</v>
      </c>
      <c r="K63" s="3">
        <f ca="1">IFERROR(__xludf.DUMMYFUNCTION("""COMPUTED_VALUE"""),0.384722222222222)</f>
        <v>0.38472222222222202</v>
      </c>
      <c r="M63" s="3">
        <f t="shared" ref="M63:V63" ca="1" si="34">B63+0.5</f>
        <v>0.83819444444444402</v>
      </c>
      <c r="N63" s="3">
        <f t="shared" ca="1" si="34"/>
        <v>0.844444444444444</v>
      </c>
      <c r="O63" s="3">
        <f t="shared" ca="1" si="34"/>
        <v>0.84930555555555498</v>
      </c>
      <c r="P63" s="3">
        <f t="shared" ca="1" si="34"/>
        <v>0.85347222222222197</v>
      </c>
      <c r="Q63" s="3">
        <f t="shared" ca="1" si="34"/>
        <v>0.86111111111111094</v>
      </c>
      <c r="R63" s="3">
        <f t="shared" ca="1" si="34"/>
        <v>0.86597222222222192</v>
      </c>
      <c r="S63" s="3">
        <f t="shared" ca="1" si="34"/>
        <v>0.87222222222222201</v>
      </c>
      <c r="T63" s="3">
        <f t="shared" ca="1" si="34"/>
        <v>0.87847222222222199</v>
      </c>
      <c r="U63" s="3">
        <f t="shared" ca="1" si="34"/>
        <v>0.88402777777777697</v>
      </c>
      <c r="V63" s="3">
        <f t="shared" ca="1" si="34"/>
        <v>0.88472222222222197</v>
      </c>
      <c r="W63" s="4">
        <f t="shared" ca="1" si="0"/>
        <v>4.6527777777777946E-2</v>
      </c>
      <c r="X63" s="6">
        <v>62</v>
      </c>
    </row>
    <row r="64" spans="1:24" ht="13" x14ac:dyDescent="0.15">
      <c r="A64" s="2" t="s">
        <v>72</v>
      </c>
      <c r="B64" s="3">
        <f ca="1">IFERROR(__xludf.DUMMYFUNCTION("SPLIT(A64,"" "")"),0.348611111111111)</f>
        <v>0.34861111111111098</v>
      </c>
      <c r="C64" s="3">
        <f ca="1">IFERROR(__xludf.DUMMYFUNCTION("""COMPUTED_VALUE"""),0.354861111111111)</f>
        <v>0.35486111111111102</v>
      </c>
      <c r="D64" s="3">
        <f ca="1">IFERROR(__xludf.DUMMYFUNCTION("""COMPUTED_VALUE"""),0.359722222222222)</f>
        <v>0.359722222222222</v>
      </c>
      <c r="E64" s="3">
        <f ca="1">IFERROR(__xludf.DUMMYFUNCTION("""COMPUTED_VALUE"""),0.363888888888888)</f>
        <v>0.36388888888888798</v>
      </c>
      <c r="F64" s="3">
        <f ca="1">IFERROR(__xludf.DUMMYFUNCTION("""COMPUTED_VALUE"""),0.371527777777777)</f>
        <v>0.37152777777777701</v>
      </c>
      <c r="G64" s="3">
        <f ca="1">IFERROR(__xludf.DUMMYFUNCTION("""COMPUTED_VALUE"""),0.376388888888888)</f>
        <v>0.376388888888888</v>
      </c>
      <c r="H64" s="3">
        <f ca="1">IFERROR(__xludf.DUMMYFUNCTION("""COMPUTED_VALUE"""),0.382638888888888)</f>
        <v>0.38263888888888797</v>
      </c>
      <c r="I64" s="3">
        <f ca="1">IFERROR(__xludf.DUMMYFUNCTION("""COMPUTED_VALUE"""),0.388888888888888)</f>
        <v>0.38888888888888801</v>
      </c>
      <c r="J64" s="3">
        <f ca="1">IFERROR(__xludf.DUMMYFUNCTION("""COMPUTED_VALUE"""),0.394444444444444)</f>
        <v>0.39444444444444399</v>
      </c>
      <c r="K64" s="3">
        <f ca="1">IFERROR(__xludf.DUMMYFUNCTION("""COMPUTED_VALUE"""),0.395138888888888)</f>
        <v>0.39513888888888798</v>
      </c>
      <c r="M64" s="3">
        <f t="shared" ref="M64:V64" ca="1" si="35">B64+0.5</f>
        <v>0.84861111111111098</v>
      </c>
      <c r="N64" s="3">
        <f t="shared" ca="1" si="35"/>
        <v>0.85486111111111107</v>
      </c>
      <c r="O64" s="3">
        <f t="shared" ca="1" si="35"/>
        <v>0.85972222222222205</v>
      </c>
      <c r="P64" s="3">
        <f t="shared" ca="1" si="35"/>
        <v>0.86388888888888804</v>
      </c>
      <c r="Q64" s="3">
        <f t="shared" ca="1" si="35"/>
        <v>0.87152777777777701</v>
      </c>
      <c r="R64" s="3">
        <f t="shared" ca="1" si="35"/>
        <v>0.876388888888888</v>
      </c>
      <c r="S64" s="3">
        <f t="shared" ca="1" si="35"/>
        <v>0.88263888888888797</v>
      </c>
      <c r="T64" s="3">
        <f t="shared" ca="1" si="35"/>
        <v>0.88888888888888795</v>
      </c>
      <c r="U64" s="3">
        <f t="shared" ca="1" si="35"/>
        <v>0.89444444444444393</v>
      </c>
      <c r="V64" s="3">
        <f t="shared" ca="1" si="35"/>
        <v>0.89513888888888804</v>
      </c>
      <c r="W64" s="4">
        <f t="shared" ca="1" si="0"/>
        <v>4.6527777777777057E-2</v>
      </c>
      <c r="X64" s="6">
        <v>63</v>
      </c>
    </row>
    <row r="65" spans="1:24" ht="13" x14ac:dyDescent="0.15">
      <c r="A65" s="2" t="s">
        <v>73</v>
      </c>
      <c r="B65" s="3">
        <f ca="1">IFERROR(__xludf.DUMMYFUNCTION("SPLIT(A65,"" "")"),0.359027777777777)</f>
        <v>0.359027777777777</v>
      </c>
      <c r="C65" s="3">
        <f ca="1">IFERROR(__xludf.DUMMYFUNCTION("""COMPUTED_VALUE"""),0.365277777777777)</f>
        <v>0.36527777777777698</v>
      </c>
      <c r="D65" s="3">
        <f ca="1">IFERROR(__xludf.DUMMYFUNCTION("""COMPUTED_VALUE"""),0.369444444444444)</f>
        <v>0.36944444444444402</v>
      </c>
      <c r="E65" s="3">
        <f ca="1">IFERROR(__xludf.DUMMYFUNCTION("""COMPUTED_VALUE"""),0.373611111111111)</f>
        <v>0.37361111111111101</v>
      </c>
      <c r="F65" s="3">
        <f ca="1">IFERROR(__xludf.DUMMYFUNCTION("""COMPUTED_VALUE"""),0.380555555555555)</f>
        <v>0.38055555555555498</v>
      </c>
      <c r="G65" s="3">
        <f ca="1">IFERROR(__xludf.DUMMYFUNCTION("""COMPUTED_VALUE"""),0.385416666666666)</f>
        <v>0.38541666666666602</v>
      </c>
      <c r="H65" s="3">
        <f ca="1">IFERROR(__xludf.DUMMYFUNCTION("""COMPUTED_VALUE"""),0.391666666666666)</f>
        <v>0.391666666666666</v>
      </c>
      <c r="I65" s="3">
        <f ca="1">IFERROR(__xludf.DUMMYFUNCTION("""COMPUTED_VALUE"""),0.397916666666666)</f>
        <v>0.39791666666666597</v>
      </c>
      <c r="J65" s="3">
        <f ca="1">IFERROR(__xludf.DUMMYFUNCTION("""COMPUTED_VALUE"""),0.402083333333333)</f>
        <v>0.40208333333333302</v>
      </c>
      <c r="K65" s="3">
        <f ca="1">IFERROR(__xludf.DUMMYFUNCTION("""COMPUTED_VALUE"""),0.402777777777777)</f>
        <v>0.40277777777777701</v>
      </c>
      <c r="M65" s="3">
        <f t="shared" ref="M65:V65" ca="1" si="36">B65+0.5</f>
        <v>0.85902777777777706</v>
      </c>
      <c r="N65" s="3">
        <f t="shared" ca="1" si="36"/>
        <v>0.86527777777777692</v>
      </c>
      <c r="O65" s="3">
        <f t="shared" ca="1" si="36"/>
        <v>0.86944444444444402</v>
      </c>
      <c r="P65" s="3">
        <f t="shared" ca="1" si="36"/>
        <v>0.87361111111111101</v>
      </c>
      <c r="Q65" s="3">
        <f t="shared" ca="1" si="36"/>
        <v>0.88055555555555498</v>
      </c>
      <c r="R65" s="3">
        <f t="shared" ca="1" si="36"/>
        <v>0.88541666666666607</v>
      </c>
      <c r="S65" s="3">
        <f t="shared" ca="1" si="36"/>
        <v>0.89166666666666594</v>
      </c>
      <c r="T65" s="3">
        <f t="shared" ca="1" si="36"/>
        <v>0.89791666666666603</v>
      </c>
      <c r="U65" s="3">
        <f t="shared" ca="1" si="36"/>
        <v>0.90208333333333302</v>
      </c>
      <c r="V65" s="3">
        <f t="shared" ca="1" si="36"/>
        <v>0.90277777777777701</v>
      </c>
      <c r="W65" s="4">
        <f t="shared" ca="1" si="0"/>
        <v>4.3749999999999956E-2</v>
      </c>
      <c r="X65" s="6">
        <v>64</v>
      </c>
    </row>
    <row r="66" spans="1:24" ht="13" x14ac:dyDescent="0.15">
      <c r="A66" s="2" t="s">
        <v>74</v>
      </c>
      <c r="B66" s="3">
        <f ca="1">IFERROR(__xludf.DUMMYFUNCTION("SPLIT(A66,"" "")"),0.369444444444444)</f>
        <v>0.36944444444444402</v>
      </c>
      <c r="C66" s="3">
        <f ca="1">IFERROR(__xludf.DUMMYFUNCTION("""COMPUTED_VALUE"""),0.375694444444444)</f>
        <v>0.375694444444444</v>
      </c>
      <c r="D66" s="3">
        <f ca="1">IFERROR(__xludf.DUMMYFUNCTION("""COMPUTED_VALUE"""),0.379861111111111)</f>
        <v>0.37986111111111098</v>
      </c>
      <c r="E66" s="3">
        <f ca="1">IFERROR(__xludf.DUMMYFUNCTION("""COMPUTED_VALUE"""),0.384027777777777)</f>
        <v>0.38402777777777702</v>
      </c>
      <c r="F66" s="3">
        <f ca="1">IFERROR(__xludf.DUMMYFUNCTION("""COMPUTED_VALUE"""),0.390972222222222)</f>
        <v>0.390972222222222</v>
      </c>
      <c r="G66" s="3">
        <f ca="1">IFERROR(__xludf.DUMMYFUNCTION("""COMPUTED_VALUE"""),0.395833333333333)</f>
        <v>0.39583333333333298</v>
      </c>
      <c r="H66" s="3">
        <f ca="1">IFERROR(__xludf.DUMMYFUNCTION("""COMPUTED_VALUE"""),0.402083333333333)</f>
        <v>0.40208333333333302</v>
      </c>
      <c r="I66" s="3">
        <f ca="1">IFERROR(__xludf.DUMMYFUNCTION("""COMPUTED_VALUE"""),0.408333333333333)</f>
        <v>0.40833333333333299</v>
      </c>
      <c r="J66" s="3">
        <f ca="1">IFERROR(__xludf.DUMMYFUNCTION("""COMPUTED_VALUE"""),0.4125)</f>
        <v>0.41249999999999998</v>
      </c>
      <c r="K66" s="3">
        <f ca="1">IFERROR(__xludf.DUMMYFUNCTION("""COMPUTED_VALUE"""),0.413194444444444)</f>
        <v>0.41319444444444398</v>
      </c>
      <c r="M66" s="3">
        <f t="shared" ref="M66:V66" ca="1" si="37">B66+0.5</f>
        <v>0.86944444444444402</v>
      </c>
      <c r="N66" s="3">
        <f t="shared" ca="1" si="37"/>
        <v>0.875694444444444</v>
      </c>
      <c r="O66" s="3">
        <f t="shared" ca="1" si="37"/>
        <v>0.87986111111111098</v>
      </c>
      <c r="P66" s="3">
        <f t="shared" ca="1" si="37"/>
        <v>0.88402777777777697</v>
      </c>
      <c r="Q66" s="3">
        <f t="shared" ca="1" si="37"/>
        <v>0.89097222222222205</v>
      </c>
      <c r="R66" s="3">
        <f t="shared" ca="1" si="37"/>
        <v>0.89583333333333304</v>
      </c>
      <c r="S66" s="3">
        <f t="shared" ca="1" si="37"/>
        <v>0.90208333333333302</v>
      </c>
      <c r="T66" s="3">
        <f t="shared" ca="1" si="37"/>
        <v>0.90833333333333299</v>
      </c>
      <c r="U66" s="3">
        <f t="shared" ca="1" si="37"/>
        <v>0.91249999999999998</v>
      </c>
      <c r="V66" s="3">
        <f t="shared" ca="1" si="37"/>
        <v>0.91319444444444398</v>
      </c>
      <c r="W66" s="4">
        <f t="shared" ca="1" si="0"/>
        <v>4.3749999999999956E-2</v>
      </c>
      <c r="X66" s="6">
        <v>65</v>
      </c>
    </row>
    <row r="67" spans="1:24" ht="13" x14ac:dyDescent="0.15">
      <c r="A67" s="2" t="s">
        <v>75</v>
      </c>
      <c r="B67" s="3">
        <f ca="1">IFERROR(__xludf.DUMMYFUNCTION("SPLIT(A67,"" "")"),0.379861111111111)</f>
        <v>0.37986111111111098</v>
      </c>
      <c r="C67" s="3">
        <f ca="1">IFERROR(__xludf.DUMMYFUNCTION("""COMPUTED_VALUE"""),0.386111111111111)</f>
        <v>0.38611111111111102</v>
      </c>
      <c r="D67" s="3">
        <f ca="1">IFERROR(__xludf.DUMMYFUNCTION("""COMPUTED_VALUE"""),0.390277777777777)</f>
        <v>0.390277777777777</v>
      </c>
      <c r="E67" s="3">
        <f ca="1">IFERROR(__xludf.DUMMYFUNCTION("""COMPUTED_VALUE"""),0.394444444444444)</f>
        <v>0.39444444444444399</v>
      </c>
      <c r="F67" s="3">
        <f ca="1">IFERROR(__xludf.DUMMYFUNCTION("""COMPUTED_VALUE"""),0.401388888888888)</f>
        <v>0.40138888888888802</v>
      </c>
      <c r="G67" s="3">
        <f ca="1">IFERROR(__xludf.DUMMYFUNCTION("""COMPUTED_VALUE"""),0.40625)</f>
        <v>0.40625</v>
      </c>
      <c r="H67" s="3">
        <f ca="1">IFERROR(__xludf.DUMMYFUNCTION("""COMPUTED_VALUE"""),0.4125)</f>
        <v>0.41249999999999998</v>
      </c>
      <c r="I67" s="3">
        <f ca="1">IFERROR(__xludf.DUMMYFUNCTION("""COMPUTED_VALUE"""),0.41875)</f>
        <v>0.41875000000000001</v>
      </c>
      <c r="J67" s="3">
        <f ca="1">IFERROR(__xludf.DUMMYFUNCTION("""COMPUTED_VALUE"""),0.422916666666666)</f>
        <v>0.422916666666666</v>
      </c>
      <c r="K67" s="3">
        <f ca="1">IFERROR(__xludf.DUMMYFUNCTION("""COMPUTED_VALUE"""),0.423611111111111)</f>
        <v>0.42361111111111099</v>
      </c>
      <c r="M67" s="3">
        <f t="shared" ref="M67:V67" ca="1" si="38">B67+0.5</f>
        <v>0.87986111111111098</v>
      </c>
      <c r="N67" s="3">
        <f t="shared" ca="1" si="38"/>
        <v>0.88611111111111107</v>
      </c>
      <c r="O67" s="3">
        <f t="shared" ca="1" si="38"/>
        <v>0.89027777777777706</v>
      </c>
      <c r="P67" s="3">
        <f t="shared" ca="1" si="38"/>
        <v>0.89444444444444393</v>
      </c>
      <c r="Q67" s="3">
        <f t="shared" ca="1" si="38"/>
        <v>0.90138888888888802</v>
      </c>
      <c r="R67" s="3">
        <f t="shared" ca="1" si="38"/>
        <v>0.90625</v>
      </c>
      <c r="S67" s="3">
        <f t="shared" ca="1" si="38"/>
        <v>0.91249999999999998</v>
      </c>
      <c r="T67" s="3">
        <f t="shared" ca="1" si="38"/>
        <v>0.91874999999999996</v>
      </c>
      <c r="U67" s="3">
        <f t="shared" ca="1" si="38"/>
        <v>0.92291666666666594</v>
      </c>
      <c r="V67" s="3">
        <f t="shared" ca="1" si="38"/>
        <v>0.92361111111111094</v>
      </c>
      <c r="W67" s="4">
        <f t="shared" ca="1" si="0"/>
        <v>4.3749999999999956E-2</v>
      </c>
      <c r="X67" s="6">
        <v>66</v>
      </c>
    </row>
    <row r="68" spans="1:24" ht="13" x14ac:dyDescent="0.15">
      <c r="A68" s="2" t="s">
        <v>76</v>
      </c>
      <c r="B68" s="3">
        <f ca="1">IFERROR(__xludf.DUMMYFUNCTION("SPLIT(A68,"" "")"),0.393055555555555)</f>
        <v>0.39305555555555499</v>
      </c>
      <c r="C68" s="3">
        <f ca="1">IFERROR(__xludf.DUMMYFUNCTION("""COMPUTED_VALUE"""),0.399305555555555)</f>
        <v>0.39930555555555503</v>
      </c>
      <c r="D68" s="3">
        <f ca="1">IFERROR(__xludf.DUMMYFUNCTION("""COMPUTED_VALUE"""),0.403472222222222)</f>
        <v>0.40347222222222201</v>
      </c>
      <c r="E68" s="3">
        <f ca="1">IFERROR(__xludf.DUMMYFUNCTION("""COMPUTED_VALUE"""),0.407638888888888)</f>
        <v>0.407638888888888</v>
      </c>
      <c r="F68" s="3">
        <f ca="1">IFERROR(__xludf.DUMMYFUNCTION("""COMPUTED_VALUE"""),0.414583333333333)</f>
        <v>0.41458333333333303</v>
      </c>
      <c r="G68" s="3">
        <f ca="1">IFERROR(__xludf.DUMMYFUNCTION("""COMPUTED_VALUE"""),0.419444444444444)</f>
        <v>0.41944444444444401</v>
      </c>
      <c r="H68" s="3">
        <f ca="1">IFERROR(__xludf.DUMMYFUNCTION("""COMPUTED_VALUE"""),0.425694444444444)</f>
        <v>0.42569444444444399</v>
      </c>
      <c r="I68" s="3">
        <f ca="1">IFERROR(__xludf.DUMMYFUNCTION("""COMPUTED_VALUE"""),0.431944444444444)</f>
        <v>0.43194444444444402</v>
      </c>
      <c r="J68" s="3">
        <f ca="1">IFERROR(__xludf.DUMMYFUNCTION("""COMPUTED_VALUE"""),0.436111111111111)</f>
        <v>0.43611111111111101</v>
      </c>
      <c r="K68" s="3">
        <f ca="1">IFERROR(__xludf.DUMMYFUNCTION("""COMPUTED_VALUE"""),0.436805555555555)</f>
        <v>0.436805555555555</v>
      </c>
      <c r="M68" s="3">
        <f t="shared" ref="M68:V68" ca="1" si="39">B68+0.5</f>
        <v>0.89305555555555505</v>
      </c>
      <c r="N68" s="3">
        <f t="shared" ca="1" si="39"/>
        <v>0.89930555555555503</v>
      </c>
      <c r="O68" s="3">
        <f t="shared" ca="1" si="39"/>
        <v>0.90347222222222201</v>
      </c>
      <c r="P68" s="3">
        <f t="shared" ca="1" si="39"/>
        <v>0.907638888888888</v>
      </c>
      <c r="Q68" s="3">
        <f t="shared" ca="1" si="39"/>
        <v>0.91458333333333308</v>
      </c>
      <c r="R68" s="3">
        <f t="shared" ca="1" si="39"/>
        <v>0.91944444444444406</v>
      </c>
      <c r="S68" s="3">
        <f t="shared" ca="1" si="39"/>
        <v>0.92569444444444393</v>
      </c>
      <c r="T68" s="3">
        <f t="shared" ca="1" si="39"/>
        <v>0.93194444444444402</v>
      </c>
      <c r="U68" s="3">
        <f t="shared" ca="1" si="39"/>
        <v>0.93611111111111101</v>
      </c>
      <c r="V68" s="3">
        <f t="shared" ca="1" si="39"/>
        <v>0.936805555555555</v>
      </c>
      <c r="W68" s="4">
        <f t="shared" ca="1" si="0"/>
        <v>4.3749999999999956E-2</v>
      </c>
      <c r="X68" s="6">
        <v>67</v>
      </c>
    </row>
    <row r="69" spans="1:24" ht="13" x14ac:dyDescent="0.15">
      <c r="A69" s="2" t="s">
        <v>77</v>
      </c>
      <c r="B69" s="3">
        <f ca="1">IFERROR(__xludf.DUMMYFUNCTION("SPLIT(A69,"" "")"),0.406944444444444)</f>
        <v>0.406944444444444</v>
      </c>
      <c r="C69" s="3">
        <f ca="1">IFERROR(__xludf.DUMMYFUNCTION("""COMPUTED_VALUE"""),0.413194444444444)</f>
        <v>0.41319444444444398</v>
      </c>
      <c r="D69" s="3">
        <f ca="1">IFERROR(__xludf.DUMMYFUNCTION("""COMPUTED_VALUE"""),0.417361111111111)</f>
        <v>0.41736111111111102</v>
      </c>
      <c r="E69" s="3">
        <f ca="1">IFERROR(__xludf.DUMMYFUNCTION("""COMPUTED_VALUE"""),0.421527777777777)</f>
        <v>0.421527777777777</v>
      </c>
      <c r="F69" s="3">
        <f ca="1">IFERROR(__xludf.DUMMYFUNCTION("""COMPUTED_VALUE"""),0.428472222222222)</f>
        <v>0.42847222222222198</v>
      </c>
      <c r="G69" s="3">
        <f ca="1">IFERROR(__xludf.DUMMYFUNCTION("""COMPUTED_VALUE"""),0.433333333333333)</f>
        <v>0.43333333333333302</v>
      </c>
      <c r="H69" s="3">
        <f ca="1">IFERROR(__xludf.DUMMYFUNCTION("""COMPUTED_VALUE"""),0.439583333333333)</f>
        <v>0.43958333333333299</v>
      </c>
      <c r="I69" s="3">
        <f ca="1">IFERROR(__xludf.DUMMYFUNCTION("""COMPUTED_VALUE"""),0.445833333333333)</f>
        <v>0.44583333333333303</v>
      </c>
      <c r="J69" s="3">
        <f ca="1">IFERROR(__xludf.DUMMYFUNCTION("""COMPUTED_VALUE"""),0.45)</f>
        <v>0.45</v>
      </c>
      <c r="K69" s="3">
        <f ca="1">IFERROR(__xludf.DUMMYFUNCTION("""COMPUTED_VALUE"""),0.450694444444444)</f>
        <v>0.45069444444444401</v>
      </c>
      <c r="M69" s="3">
        <f t="shared" ref="M69:V69" ca="1" si="40">B69+0.5</f>
        <v>0.906944444444444</v>
      </c>
      <c r="N69" s="3">
        <f t="shared" ca="1" si="40"/>
        <v>0.91319444444444398</v>
      </c>
      <c r="O69" s="3">
        <f t="shared" ca="1" si="40"/>
        <v>0.91736111111111107</v>
      </c>
      <c r="P69" s="3">
        <f t="shared" ca="1" si="40"/>
        <v>0.92152777777777706</v>
      </c>
      <c r="Q69" s="3">
        <f t="shared" ca="1" si="40"/>
        <v>0.92847222222222192</v>
      </c>
      <c r="R69" s="3">
        <f t="shared" ca="1" si="40"/>
        <v>0.93333333333333302</v>
      </c>
      <c r="S69" s="3">
        <f t="shared" ca="1" si="40"/>
        <v>0.93958333333333299</v>
      </c>
      <c r="T69" s="3">
        <f t="shared" ca="1" si="40"/>
        <v>0.94583333333333308</v>
      </c>
      <c r="U69" s="3">
        <f t="shared" ca="1" si="40"/>
        <v>0.95</v>
      </c>
      <c r="V69" s="7">
        <f t="shared" ca="1" si="40"/>
        <v>0.95069444444444406</v>
      </c>
      <c r="W69" s="4">
        <f t="shared" ca="1" si="0"/>
        <v>4.3750000000000067E-2</v>
      </c>
      <c r="X69" s="6">
        <v>68</v>
      </c>
    </row>
    <row r="70" spans="1:24" ht="13" x14ac:dyDescent="0.15">
      <c r="A70" s="2" t="s">
        <v>78</v>
      </c>
      <c r="B70" s="3">
        <f ca="1">IFERROR(__xludf.DUMMYFUNCTION("SPLIT(A70,"" "")"),0.425)</f>
        <v>0.42499999999999999</v>
      </c>
      <c r="C70" s="3">
        <f ca="1">IFERROR(__xludf.DUMMYFUNCTION("""COMPUTED_VALUE"""),0.43125)</f>
        <v>0.43125000000000002</v>
      </c>
      <c r="D70" s="3">
        <f ca="1">IFERROR(__xludf.DUMMYFUNCTION("""COMPUTED_VALUE"""),0.435416666666666)</f>
        <v>0.43541666666666601</v>
      </c>
      <c r="E70" s="3">
        <f ca="1">IFERROR(__xludf.DUMMYFUNCTION("""COMPUTED_VALUE"""),0.439583333333333)</f>
        <v>0.43958333333333299</v>
      </c>
      <c r="F70" s="3">
        <f ca="1">IFERROR(__xludf.DUMMYFUNCTION("""COMPUTED_VALUE"""),0.446527777777777)</f>
        <v>0.44652777777777702</v>
      </c>
      <c r="G70" s="3">
        <f ca="1">IFERROR(__xludf.DUMMYFUNCTION("""COMPUTED_VALUE"""),0.451388888888888)</f>
        <v>0.45138888888888801</v>
      </c>
      <c r="H70" s="3">
        <f ca="1">IFERROR(__xludf.DUMMYFUNCTION("""COMPUTED_VALUE"""),0.457638888888888)</f>
        <v>0.45763888888888798</v>
      </c>
      <c r="I70" s="3">
        <f ca="1">IFERROR(__xludf.DUMMYFUNCTION("""COMPUTED_VALUE"""),0.463888888888888)</f>
        <v>0.46388888888888802</v>
      </c>
      <c r="J70" s="3">
        <f ca="1">IFERROR(__xludf.DUMMYFUNCTION("""COMPUTED_VALUE"""),0.468055555555555)</f>
        <v>0.468055555555555</v>
      </c>
      <c r="K70" s="3">
        <f ca="1">IFERROR(__xludf.DUMMYFUNCTION("""COMPUTED_VALUE"""),0.46875)</f>
        <v>0.46875</v>
      </c>
      <c r="M70" s="3">
        <f t="shared" ref="M70:V70" ca="1" si="41">B70+0.5</f>
        <v>0.92500000000000004</v>
      </c>
      <c r="N70" s="3">
        <f t="shared" ca="1" si="41"/>
        <v>0.93125000000000002</v>
      </c>
      <c r="O70" s="3">
        <f t="shared" ca="1" si="41"/>
        <v>0.93541666666666601</v>
      </c>
      <c r="P70" s="3">
        <f t="shared" ca="1" si="41"/>
        <v>0.93958333333333299</v>
      </c>
      <c r="Q70" s="3">
        <f t="shared" ca="1" si="41"/>
        <v>0.94652777777777697</v>
      </c>
      <c r="R70" s="3">
        <f t="shared" ca="1" si="41"/>
        <v>0.95138888888888795</v>
      </c>
      <c r="S70" s="3">
        <f t="shared" ca="1" si="41"/>
        <v>0.95763888888888804</v>
      </c>
      <c r="T70" s="3">
        <f t="shared" ca="1" si="41"/>
        <v>0.96388888888888802</v>
      </c>
      <c r="U70" s="3">
        <f t="shared" ca="1" si="41"/>
        <v>0.968055555555555</v>
      </c>
      <c r="V70" s="7">
        <f t="shared" ca="1" si="41"/>
        <v>0.96875</v>
      </c>
      <c r="W70" s="4">
        <f t="shared" ca="1" si="0"/>
        <v>4.3749999999999956E-2</v>
      </c>
      <c r="X70" s="6">
        <v>69</v>
      </c>
    </row>
    <row r="71" spans="1:24" ht="13" x14ac:dyDescent="0.15">
      <c r="A71" s="2" t="s">
        <v>79</v>
      </c>
      <c r="B71" s="3">
        <f ca="1">IFERROR(__xludf.DUMMYFUNCTION("SPLIT(A71,"" "")"),0.445833333333333)</f>
        <v>0.44583333333333303</v>
      </c>
      <c r="C71" s="3">
        <f ca="1">IFERROR(__xludf.DUMMYFUNCTION("""COMPUTED_VALUE"""),0.452083333333333)</f>
        <v>0.452083333333333</v>
      </c>
      <c r="D71" s="3">
        <f ca="1">IFERROR(__xludf.DUMMYFUNCTION("""COMPUTED_VALUE"""),0.455555555555555)</f>
        <v>0.45555555555555499</v>
      </c>
      <c r="E71" s="3">
        <f ca="1">IFERROR(__xludf.DUMMYFUNCTION("""COMPUTED_VALUE"""),0.459722222222222)</f>
        <v>0.45972222222222198</v>
      </c>
      <c r="F71" s="3">
        <f ca="1">IFERROR(__xludf.DUMMYFUNCTION("""COMPUTED_VALUE"""),0.465972222222222)</f>
        <v>0.46597222222222201</v>
      </c>
      <c r="G71" s="3">
        <f ca="1">IFERROR(__xludf.DUMMYFUNCTION("""COMPUTED_VALUE"""),0.470138888888888)</f>
        <v>0.470138888888888</v>
      </c>
      <c r="H71" s="3">
        <f ca="1">IFERROR(__xludf.DUMMYFUNCTION("""COMPUTED_VALUE"""),0.474305555555555)</f>
        <v>0.47430555555555498</v>
      </c>
      <c r="I71" s="3">
        <f ca="1">IFERROR(__xludf.DUMMYFUNCTION("""COMPUTED_VALUE"""),0.479166666666666)</f>
        <v>0.47916666666666602</v>
      </c>
      <c r="J71" s="3">
        <f ca="1">IFERROR(__xludf.DUMMYFUNCTION("""COMPUTED_VALUE"""),0.482638888888888)</f>
        <v>0.48263888888888801</v>
      </c>
      <c r="K71" s="3">
        <f ca="1">IFERROR(__xludf.DUMMYFUNCTION("""COMPUTED_VALUE"""),0.483333333333333)</f>
        <v>0.483333333333333</v>
      </c>
      <c r="M71" s="3">
        <f t="shared" ref="M71:V71" ca="1" si="42">B71+0.5</f>
        <v>0.94583333333333308</v>
      </c>
      <c r="N71" s="3">
        <f t="shared" ca="1" si="42"/>
        <v>0.95208333333333295</v>
      </c>
      <c r="O71" s="3">
        <f t="shared" ca="1" si="42"/>
        <v>0.95555555555555505</v>
      </c>
      <c r="P71" s="3">
        <f t="shared" ca="1" si="42"/>
        <v>0.95972222222222192</v>
      </c>
      <c r="Q71" s="3">
        <f t="shared" ca="1" si="42"/>
        <v>0.96597222222222201</v>
      </c>
      <c r="R71" s="3">
        <f t="shared" ca="1" si="42"/>
        <v>0.970138888888888</v>
      </c>
      <c r="S71" s="3">
        <f t="shared" ca="1" si="42"/>
        <v>0.97430555555555498</v>
      </c>
      <c r="T71" s="3">
        <f t="shared" ca="1" si="42"/>
        <v>0.97916666666666607</v>
      </c>
      <c r="U71" s="3">
        <f t="shared" ca="1" si="42"/>
        <v>0.98263888888888795</v>
      </c>
      <c r="V71" s="7">
        <f t="shared" ca="1" si="42"/>
        <v>0.98333333333333295</v>
      </c>
      <c r="W71" s="4">
        <f t="shared" ca="1" si="0"/>
        <v>3.7499999999999867E-2</v>
      </c>
      <c r="X71" s="6">
        <v>70</v>
      </c>
    </row>
    <row r="72" spans="1:24" ht="13" x14ac:dyDescent="0.15">
      <c r="A72" s="2" t="s">
        <v>80</v>
      </c>
      <c r="B72" s="3">
        <f ca="1">IFERROR(__xludf.DUMMYFUNCTION("SPLIT(A72,"" "")"),0.463888888888888)</f>
        <v>0.46388888888888802</v>
      </c>
      <c r="C72" s="3">
        <f ca="1">IFERROR(__xludf.DUMMYFUNCTION("""COMPUTED_VALUE"""),0.470138888888888)</f>
        <v>0.470138888888888</v>
      </c>
      <c r="D72" s="3">
        <f ca="1">IFERROR(__xludf.DUMMYFUNCTION("""COMPUTED_VALUE"""),0.473611111111111)</f>
        <v>0.47361111111111098</v>
      </c>
      <c r="E72" s="3">
        <f ca="1">IFERROR(__xludf.DUMMYFUNCTION("""COMPUTED_VALUE"""),0.477777777777777)</f>
        <v>0.47777777777777702</v>
      </c>
      <c r="F72" s="3">
        <f ca="1">IFERROR(__xludf.DUMMYFUNCTION("""COMPUTED_VALUE"""),0.484027777777777)</f>
        <v>0.484027777777777</v>
      </c>
      <c r="G72" s="3">
        <f ca="1">IFERROR(__xludf.DUMMYFUNCTION("""COMPUTED_VALUE"""),0.488194444444444)</f>
        <v>0.48819444444444399</v>
      </c>
      <c r="H72" s="3">
        <f ca="1">IFERROR(__xludf.DUMMYFUNCTION("""COMPUTED_VALUE"""),0.492361111111111)</f>
        <v>0.49236111111111103</v>
      </c>
      <c r="I72" s="3">
        <f ca="1">IFERROR(__xludf.DUMMYFUNCTION("""COMPUTED_VALUE"""),0.497222222222222)</f>
        <v>0.49722222222222201</v>
      </c>
      <c r="J72" s="3">
        <f ca="1">IFERROR(__xludf.DUMMYFUNCTION("""COMPUTED_VALUE"""),0.500694444444444)</f>
        <v>0.500694444444444</v>
      </c>
      <c r="K72" s="3">
        <f ca="1">IFERROR(__xludf.DUMMYFUNCTION("""COMPUTED_VALUE"""),0.501388888888888)</f>
        <v>0.501388888888888</v>
      </c>
      <c r="M72" s="3">
        <f t="shared" ref="M72:V72" ca="1" si="43">B72+0.5</f>
        <v>0.96388888888888802</v>
      </c>
      <c r="N72" s="3">
        <f t="shared" ca="1" si="43"/>
        <v>0.970138888888888</v>
      </c>
      <c r="O72" s="3">
        <f t="shared" ca="1" si="43"/>
        <v>0.97361111111111098</v>
      </c>
      <c r="P72" s="3">
        <f t="shared" ca="1" si="43"/>
        <v>0.97777777777777697</v>
      </c>
      <c r="Q72" s="3">
        <f t="shared" ca="1" si="43"/>
        <v>0.98402777777777706</v>
      </c>
      <c r="R72" s="3">
        <f t="shared" ca="1" si="43"/>
        <v>0.98819444444444393</v>
      </c>
      <c r="S72" s="3">
        <f t="shared" ca="1" si="43"/>
        <v>0.99236111111111103</v>
      </c>
      <c r="T72" s="3">
        <f t="shared" ca="1" si="43"/>
        <v>0.99722222222222201</v>
      </c>
      <c r="U72" s="3">
        <f t="shared" ca="1" si="43"/>
        <v>1.0006944444444441</v>
      </c>
      <c r="V72" s="7">
        <f ca="1">K72+0.5</f>
        <v>1.001388888888888</v>
      </c>
      <c r="W72" s="4">
        <f t="shared" ca="1" si="0"/>
        <v>3.7499999999999978E-2</v>
      </c>
      <c r="X72" s="6">
        <v>71</v>
      </c>
    </row>
    <row r="73" spans="1:24" ht="13" x14ac:dyDescent="0.15">
      <c r="A73" s="2" t="s">
        <v>81</v>
      </c>
      <c r="B73" s="3">
        <f ca="1">IFERROR(__xludf.DUMMYFUNCTION("SPLIT(A73,"" "")"),0.484722222222222)</f>
        <v>0.484722222222222</v>
      </c>
      <c r="C73" s="3">
        <f ca="1">IFERROR(__xludf.DUMMYFUNCTION("""COMPUTED_VALUE"""),0.490972222222222)</f>
        <v>0.49097222222222198</v>
      </c>
      <c r="D73" s="3">
        <f ca="1">IFERROR(__xludf.DUMMYFUNCTION("""COMPUTED_VALUE"""),0.494444444444444)</f>
        <v>0.49444444444444402</v>
      </c>
      <c r="E73" s="3">
        <f ca="1">IFERROR(__xludf.DUMMYFUNCTION("""COMPUTED_VALUE"""),0.498611111111111)</f>
        <v>0.49861111111111101</v>
      </c>
      <c r="F73" s="3">
        <f ca="1">IFERROR(__xludf.DUMMYFUNCTION("""COMPUTED_VALUE"""),0.504861111111111)</f>
        <v>0.50486111111111098</v>
      </c>
      <c r="G73" s="3">
        <f ca="1">IFERROR(__xludf.DUMMYFUNCTION("""COMPUTED_VALUE"""),0.509027777777777)</f>
        <v>0.50902777777777697</v>
      </c>
      <c r="H73" s="3">
        <f ca="1">IFERROR(__xludf.DUMMYFUNCTION("""COMPUTED_VALUE"""),0.513194444444444)</f>
        <v>0.51319444444444395</v>
      </c>
      <c r="I73" s="3">
        <f ca="1">IFERROR(__xludf.DUMMYFUNCTION("""COMPUTED_VALUE"""),0.518055555555555)</f>
        <v>0.51805555555555505</v>
      </c>
      <c r="J73" s="3">
        <f ca="1">IFERROR(__xludf.DUMMYFUNCTION("""COMPUTED_VALUE"""),0.521527777777777)</f>
        <v>0.52152777777777704</v>
      </c>
      <c r="K73" s="3">
        <f ca="1">IFERROR(__xludf.DUMMYFUNCTION("""COMPUTED_VALUE"""),0.522222222222222)</f>
        <v>0.52222222222222203</v>
      </c>
      <c r="M73" s="3">
        <f t="shared" ref="M73:V73" ca="1" si="44">B73+0.5</f>
        <v>0.98472222222222205</v>
      </c>
      <c r="N73" s="3">
        <f t="shared" ca="1" si="44"/>
        <v>0.99097222222222192</v>
      </c>
      <c r="O73" s="3">
        <f t="shared" ca="1" si="44"/>
        <v>0.99444444444444402</v>
      </c>
      <c r="P73" s="3">
        <f t="shared" ca="1" si="44"/>
        <v>0.99861111111111101</v>
      </c>
      <c r="Q73" s="3">
        <f t="shared" ca="1" si="44"/>
        <v>1.004861111111111</v>
      </c>
      <c r="R73" s="3">
        <f t="shared" ca="1" si="44"/>
        <v>1.009027777777777</v>
      </c>
      <c r="S73" s="3">
        <f t="shared" ca="1" si="44"/>
        <v>1.0131944444444438</v>
      </c>
      <c r="T73" s="3">
        <f t="shared" ca="1" si="44"/>
        <v>1.018055555555555</v>
      </c>
      <c r="U73" s="3">
        <f t="shared" ca="1" si="44"/>
        <v>1.0215277777777771</v>
      </c>
      <c r="V73" s="7">
        <f ca="1">K73+0.5</f>
        <v>1.0222222222222221</v>
      </c>
      <c r="W73" s="4">
        <f t="shared" ca="1" si="0"/>
        <v>3.7500000000000089E-2</v>
      </c>
      <c r="X73" s="6">
        <v>72</v>
      </c>
    </row>
    <row r="74" spans="1:24" ht="13" x14ac:dyDescent="0.15">
      <c r="A74" s="2" t="s">
        <v>82</v>
      </c>
      <c r="B74" s="3">
        <f ca="1">IFERROR(__xludf.DUMMYFUNCTION("SPLIT(A74,"" "")"),0.505555555555555)</f>
        <v>0.50555555555555498</v>
      </c>
      <c r="C74" s="3">
        <f ca="1">IFERROR(__xludf.DUMMYFUNCTION("""COMPUTED_VALUE"""),0.511805555555555)</f>
        <v>0.51180555555555496</v>
      </c>
      <c r="D74" s="3">
        <f ca="1">IFERROR(__xludf.DUMMYFUNCTION("""COMPUTED_VALUE"""),0.515277777777777)</f>
        <v>0.51527777777777695</v>
      </c>
      <c r="E74" s="3">
        <f ca="1">IFERROR(__xludf.DUMMYFUNCTION("""COMPUTED_VALUE"""),0.519444444444444)</f>
        <v>0.51944444444444404</v>
      </c>
      <c r="F74" s="3">
        <f ca="1">IFERROR(__xludf.DUMMYFUNCTION("""COMPUTED_VALUE"""),0.525694444444444)</f>
        <v>0.52569444444444402</v>
      </c>
      <c r="G74" s="3">
        <f ca="1">IFERROR(__xludf.DUMMYFUNCTION("""COMPUTED_VALUE"""),0.529861111111111)</f>
        <v>0.52986111111111101</v>
      </c>
      <c r="H74" s="3">
        <f ca="1">IFERROR(__xludf.DUMMYFUNCTION("""COMPUTED_VALUE"""),0.534027777777777)</f>
        <v>0.53402777777777699</v>
      </c>
      <c r="I74" s="3">
        <f ca="1">IFERROR(__xludf.DUMMYFUNCTION("""COMPUTED_VALUE"""),0.538888888888888)</f>
        <v>0.53888888888888797</v>
      </c>
      <c r="J74" s="3">
        <f ca="1">IFERROR(__xludf.DUMMYFUNCTION("""COMPUTED_VALUE"""),0.0423611111111111)</f>
        <v>4.2361111111111099E-2</v>
      </c>
      <c r="K74" s="3">
        <f ca="1">IFERROR(__xludf.DUMMYFUNCTION("""COMPUTED_VALUE"""),0.0430555555555555)</f>
        <v>4.30555555555555E-2</v>
      </c>
      <c r="M74" s="3">
        <f t="shared" ref="M74:T74" ca="1" si="45">B74+0.5</f>
        <v>1.0055555555555551</v>
      </c>
      <c r="N74" s="3">
        <f t="shared" ca="1" si="45"/>
        <v>1.011805555555555</v>
      </c>
      <c r="O74" s="3">
        <f t="shared" ca="1" si="45"/>
        <v>1.0152777777777771</v>
      </c>
      <c r="P74" s="3">
        <f t="shared" ca="1" si="45"/>
        <v>1.0194444444444439</v>
      </c>
      <c r="Q74" s="3">
        <f t="shared" ca="1" si="45"/>
        <v>1.025694444444444</v>
      </c>
      <c r="R74" s="3">
        <f t="shared" ca="1" si="45"/>
        <v>1.0298611111111109</v>
      </c>
      <c r="S74" s="3">
        <f t="shared" ca="1" si="45"/>
        <v>1.0340277777777769</v>
      </c>
      <c r="T74" s="3">
        <f t="shared" ca="1" si="45"/>
        <v>1.0388888888888879</v>
      </c>
      <c r="U74" s="3">
        <f t="shared" ref="U74:V74" ca="1" si="46">J74</f>
        <v>4.2361111111111099E-2</v>
      </c>
      <c r="V74" s="7">
        <f ca="1">K74+1</f>
        <v>1.0430555555555554</v>
      </c>
      <c r="W74" s="4">
        <f ca="1">V74-M74</f>
        <v>3.7500000000000311E-2</v>
      </c>
      <c r="X74" s="6">
        <v>73</v>
      </c>
    </row>
    <row r="75" spans="1:24" ht="13" x14ac:dyDescent="0.15">
      <c r="W75" s="4">
        <f ca="1">SUM(W2:W74)</f>
        <v>3.7513888888888909</v>
      </c>
    </row>
    <row r="76" spans="1:24" ht="13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24" ht="13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73"/>
  <sheetViews>
    <sheetView tabSelected="1" topLeftCell="J1" workbookViewId="0"/>
  </sheetViews>
  <sheetFormatPr baseColWidth="10" defaultColWidth="12.6640625" defaultRowHeight="15.75" customHeight="1" x14ac:dyDescent="0.15"/>
  <sheetData>
    <row r="1" spans="1:23" ht="15.75" customHeight="1" x14ac:dyDescent="0.15"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83</v>
      </c>
      <c r="I1" s="1" t="s">
        <v>2</v>
      </c>
      <c r="J1" s="1" t="s">
        <v>1</v>
      </c>
      <c r="K1" s="1" t="s">
        <v>0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4</v>
      </c>
      <c r="S1" s="1" t="s">
        <v>83</v>
      </c>
      <c r="T1" s="1" t="s">
        <v>2</v>
      </c>
      <c r="U1" s="1" t="s">
        <v>1</v>
      </c>
      <c r="V1" s="1" t="s">
        <v>0</v>
      </c>
    </row>
    <row r="2" spans="1:23" ht="15.75" customHeight="1" x14ac:dyDescent="0.15">
      <c r="A2" s="2" t="s">
        <v>84</v>
      </c>
      <c r="B2" s="3">
        <f ca="1">IFERROR(__xludf.DUMMYFUNCTION("SPLIT(A2,"" "")"),0.208333333333333)</f>
        <v>0.20833333333333301</v>
      </c>
      <c r="C2" s="3">
        <f ca="1">IFERROR(__xludf.DUMMYFUNCTION("""COMPUTED_VALUE"""),0.211805555555555)</f>
        <v>0.211805555555555</v>
      </c>
      <c r="D2" s="3">
        <f ca="1">IFERROR(__xludf.DUMMYFUNCTION("""COMPUTED_VALUE"""),0.216666666666666)</f>
        <v>0.21666666666666601</v>
      </c>
      <c r="E2" s="3">
        <f ca="1">IFERROR(__xludf.DUMMYFUNCTION("""COMPUTED_VALUE"""),0.222222222222222)</f>
        <v>0.22222222222222199</v>
      </c>
      <c r="F2" s="3">
        <f ca="1">IFERROR(__xludf.DUMMYFUNCTION("""COMPUTED_VALUE"""),0.227083333333333)</f>
        <v>0.227083333333333</v>
      </c>
      <c r="G2" s="3">
        <f ca="1">IFERROR(__xludf.DUMMYFUNCTION("""COMPUTED_VALUE"""),0.232638888888888)</f>
        <v>0.23263888888888801</v>
      </c>
      <c r="H2" s="3">
        <f ca="1">IFERROR(__xludf.DUMMYFUNCTION("""COMPUTED_VALUE"""),0.238888888888888)</f>
        <v>0.23888888888888801</v>
      </c>
      <c r="I2" s="3">
        <f ca="1">IFERROR(__xludf.DUMMYFUNCTION("""COMPUTED_VALUE"""),0.242361111111111)</f>
        <v>0.242361111111111</v>
      </c>
      <c r="J2" s="3">
        <f ca="1">IFERROR(__xludf.DUMMYFUNCTION("""COMPUTED_VALUE"""),0.245833333333333)</f>
        <v>0.24583333333333299</v>
      </c>
      <c r="K2" s="3">
        <f ca="1">IFERROR(__xludf.DUMMYFUNCTION("""COMPUTED_VALUE"""),0.251388888888888)</f>
        <v>0.251388888888888</v>
      </c>
      <c r="M2" s="3">
        <v>0.20833333333333334</v>
      </c>
      <c r="N2" s="3">
        <v>0.21180555555555555</v>
      </c>
      <c r="O2" s="3">
        <v>0.21666666666666667</v>
      </c>
      <c r="P2" s="3">
        <v>0.22222222222222221</v>
      </c>
      <c r="Q2" s="3">
        <v>0.22708333333333333</v>
      </c>
      <c r="R2" s="3">
        <v>0.2326388888888889</v>
      </c>
      <c r="S2" s="3">
        <v>0.2388888888888889</v>
      </c>
      <c r="T2" s="3">
        <v>0.24236111111111111</v>
      </c>
      <c r="U2" s="3">
        <v>0.24583333333333332</v>
      </c>
      <c r="V2" s="3">
        <v>0.25138888888888888</v>
      </c>
      <c r="W2" s="4">
        <f t="shared" ref="W2:W71" si="0">V2-M2</f>
        <v>4.3055555555555541E-2</v>
      </c>
    </row>
    <row r="3" spans="1:23" ht="15.75" customHeight="1" x14ac:dyDescent="0.15">
      <c r="A3" s="2" t="s">
        <v>85</v>
      </c>
      <c r="B3" s="3">
        <f ca="1">IFERROR(__xludf.DUMMYFUNCTION("SPLIT(A3,"" "")"),0.222222222222222)</f>
        <v>0.22222222222222199</v>
      </c>
      <c r="C3" s="3">
        <f ca="1">IFERROR(__xludf.DUMMYFUNCTION("""COMPUTED_VALUE"""),0.225694444444444)</f>
        <v>0.225694444444444</v>
      </c>
      <c r="D3" s="3">
        <f ca="1">IFERROR(__xludf.DUMMYFUNCTION("""COMPUTED_VALUE"""),0.230555555555555)</f>
        <v>0.23055555555555499</v>
      </c>
      <c r="E3" s="3">
        <f ca="1">IFERROR(__xludf.DUMMYFUNCTION("""COMPUTED_VALUE"""),0.236111111111111)</f>
        <v>0.23611111111111099</v>
      </c>
      <c r="F3" s="3">
        <f ca="1">IFERROR(__xludf.DUMMYFUNCTION("""COMPUTED_VALUE"""),0.240972222222222)</f>
        <v>0.240972222222222</v>
      </c>
      <c r="G3" s="3">
        <f ca="1">IFERROR(__xludf.DUMMYFUNCTION("""COMPUTED_VALUE"""),0.246527777777777)</f>
        <v>0.24652777777777701</v>
      </c>
      <c r="H3" s="3">
        <f ca="1">IFERROR(__xludf.DUMMYFUNCTION("""COMPUTED_VALUE"""),0.252777777777777)</f>
        <v>0.25277777777777699</v>
      </c>
      <c r="I3" s="3">
        <f ca="1">IFERROR(__xludf.DUMMYFUNCTION("""COMPUTED_VALUE"""),0.25625)</f>
        <v>0.25624999999999998</v>
      </c>
      <c r="J3" s="3">
        <f ca="1">IFERROR(__xludf.DUMMYFUNCTION("""COMPUTED_VALUE"""),0.259722222222222)</f>
        <v>0.25972222222222202</v>
      </c>
      <c r="K3" s="3">
        <f ca="1">IFERROR(__xludf.DUMMYFUNCTION("""COMPUTED_VALUE"""),0.265277777777777)</f>
        <v>0.265277777777777</v>
      </c>
      <c r="M3" s="3">
        <v>0.22222222222222221</v>
      </c>
      <c r="N3" s="3">
        <v>0.22569444444444445</v>
      </c>
      <c r="O3" s="3">
        <v>0.23055555555555557</v>
      </c>
      <c r="P3" s="3">
        <v>0.2361111111111111</v>
      </c>
      <c r="Q3" s="3">
        <v>0.24097222222222223</v>
      </c>
      <c r="R3" s="3">
        <v>0.24652777777777779</v>
      </c>
      <c r="S3" s="3">
        <v>0.25277777777777777</v>
      </c>
      <c r="T3" s="3">
        <v>0.25624999999999998</v>
      </c>
      <c r="U3" s="3">
        <v>0.25972222222222224</v>
      </c>
      <c r="V3" s="3">
        <v>0.26527777777777778</v>
      </c>
      <c r="W3" s="4">
        <f t="shared" si="0"/>
        <v>4.3055555555555569E-2</v>
      </c>
    </row>
    <row r="4" spans="1:23" ht="15.75" customHeight="1" x14ac:dyDescent="0.15">
      <c r="A4" s="2" t="s">
        <v>86</v>
      </c>
      <c r="B4" s="3">
        <f ca="1">IFERROR(__xludf.DUMMYFUNCTION("SPLIT(A4,"" "")"),0.236111111111111)</f>
        <v>0.23611111111111099</v>
      </c>
      <c r="C4" s="3">
        <f ca="1">IFERROR(__xludf.DUMMYFUNCTION("""COMPUTED_VALUE"""),0.239583333333333)</f>
        <v>0.23958333333333301</v>
      </c>
      <c r="D4" s="3">
        <f ca="1">IFERROR(__xludf.DUMMYFUNCTION("""COMPUTED_VALUE"""),0.245833333333333)</f>
        <v>0.24583333333333299</v>
      </c>
      <c r="E4" s="3">
        <f ca="1">IFERROR(__xludf.DUMMYFUNCTION("""COMPUTED_VALUE"""),0.252083333333333)</f>
        <v>0.25208333333333299</v>
      </c>
      <c r="F4" s="3">
        <f ca="1">IFERROR(__xludf.DUMMYFUNCTION("""COMPUTED_VALUE"""),0.257638888888888)</f>
        <v>0.25763888888888797</v>
      </c>
      <c r="G4" s="3">
        <f ca="1">IFERROR(__xludf.DUMMYFUNCTION("""COMPUTED_VALUE"""),0.263194444444444)</f>
        <v>0.26319444444444401</v>
      </c>
      <c r="H4" s="3">
        <f ca="1">IFERROR(__xludf.DUMMYFUNCTION("""COMPUTED_VALUE"""),0.269444444444444)</f>
        <v>0.26944444444444399</v>
      </c>
      <c r="I4" s="3">
        <f ca="1">IFERROR(__xludf.DUMMYFUNCTION("""COMPUTED_VALUE"""),0.272916666666666)</f>
        <v>0.27291666666666597</v>
      </c>
      <c r="J4" s="3">
        <f ca="1">IFERROR(__xludf.DUMMYFUNCTION("""COMPUTED_VALUE"""),0.276388888888888)</f>
        <v>0.27638888888888802</v>
      </c>
      <c r="K4" s="3">
        <f ca="1">IFERROR(__xludf.DUMMYFUNCTION("""COMPUTED_VALUE"""),0.282638888888888)</f>
        <v>0.282638888888888</v>
      </c>
      <c r="M4" s="3">
        <v>0.2361111111111111</v>
      </c>
      <c r="N4" s="3">
        <v>0.23958333333333334</v>
      </c>
      <c r="O4" s="3">
        <v>0.24583333333333332</v>
      </c>
      <c r="P4" s="3">
        <v>0.25208333333333333</v>
      </c>
      <c r="Q4" s="3">
        <v>0.25763888888888886</v>
      </c>
      <c r="R4" s="3">
        <v>0.26319444444444445</v>
      </c>
      <c r="S4" s="3">
        <v>0.26944444444444443</v>
      </c>
      <c r="T4" s="3">
        <v>0.27291666666666664</v>
      </c>
      <c r="U4" s="3">
        <v>0.27638888888888891</v>
      </c>
      <c r="V4" s="3">
        <v>0.28263888888888888</v>
      </c>
      <c r="W4" s="4">
        <f t="shared" si="0"/>
        <v>4.6527777777777779E-2</v>
      </c>
    </row>
    <row r="5" spans="1:23" ht="15.75" customHeight="1" x14ac:dyDescent="0.15">
      <c r="A5" s="2" t="s">
        <v>87</v>
      </c>
      <c r="B5" s="3">
        <f ca="1">IFERROR(__xludf.DUMMYFUNCTION("SPLIT(A5,"" "")"),0.25)</f>
        <v>0.25</v>
      </c>
      <c r="C5" s="3">
        <f ca="1">IFERROR(__xludf.DUMMYFUNCTION("""COMPUTED_VALUE"""),0.253472222222222)</f>
        <v>0.25347222222222199</v>
      </c>
      <c r="D5" s="3">
        <f ca="1">IFERROR(__xludf.DUMMYFUNCTION("""COMPUTED_VALUE"""),0.259722222222222)</f>
        <v>0.25972222222222202</v>
      </c>
      <c r="E5" s="3">
        <f ca="1">IFERROR(__xludf.DUMMYFUNCTION("""COMPUTED_VALUE"""),0.265972222222222)</f>
        <v>0.265972222222222</v>
      </c>
      <c r="F5" s="3">
        <f ca="1">IFERROR(__xludf.DUMMYFUNCTION("""COMPUTED_VALUE"""),0.271527777777777)</f>
        <v>0.27152777777777698</v>
      </c>
      <c r="G5" s="3">
        <f ca="1">IFERROR(__xludf.DUMMYFUNCTION("""COMPUTED_VALUE"""),0.277083333333333)</f>
        <v>0.27708333333333302</v>
      </c>
      <c r="H5" s="3">
        <f ca="1">IFERROR(__xludf.DUMMYFUNCTION("""COMPUTED_VALUE"""),0.283333333333333)</f>
        <v>0.28333333333333299</v>
      </c>
      <c r="I5" s="3">
        <f ca="1">IFERROR(__xludf.DUMMYFUNCTION("""COMPUTED_VALUE"""),0.286805555555555)</f>
        <v>0.28680555555555498</v>
      </c>
      <c r="J5" s="3">
        <f ca="1">IFERROR(__xludf.DUMMYFUNCTION("""COMPUTED_VALUE"""),0.290277777777777)</f>
        <v>0.29027777777777702</v>
      </c>
      <c r="K5" s="3">
        <f ca="1">IFERROR(__xludf.DUMMYFUNCTION("""COMPUTED_VALUE"""),0.296527777777777)</f>
        <v>0.296527777777777</v>
      </c>
      <c r="M5" s="3">
        <v>0.25</v>
      </c>
      <c r="N5" s="3">
        <v>0.25347222222222221</v>
      </c>
      <c r="O5" s="3">
        <v>0.25972222222222224</v>
      </c>
      <c r="P5" s="3">
        <v>0.26597222222222222</v>
      </c>
      <c r="Q5" s="3">
        <v>0.27152777777777776</v>
      </c>
      <c r="R5" s="3">
        <v>0.27708333333333335</v>
      </c>
      <c r="S5" s="3">
        <v>0.28333333333333333</v>
      </c>
      <c r="T5" s="3">
        <v>0.28680555555555554</v>
      </c>
      <c r="U5" s="3">
        <v>0.2902777777777778</v>
      </c>
      <c r="V5" s="3">
        <v>0.29652777777777778</v>
      </c>
      <c r="W5" s="4">
        <f t="shared" si="0"/>
        <v>4.6527777777777779E-2</v>
      </c>
    </row>
    <row r="6" spans="1:23" ht="15.75" customHeight="1" x14ac:dyDescent="0.15">
      <c r="A6" s="2" t="s">
        <v>88</v>
      </c>
      <c r="B6" s="3">
        <f ca="1">IFERROR(__xludf.DUMMYFUNCTION("SPLIT(A6,"" "")"),0.260416666666666)</f>
        <v>0.26041666666666602</v>
      </c>
      <c r="C6" s="3">
        <f ca="1">IFERROR(__xludf.DUMMYFUNCTION("""COMPUTED_VALUE"""),0.263888888888888)</f>
        <v>0.26388888888888801</v>
      </c>
      <c r="D6" s="3">
        <f ca="1">IFERROR(__xludf.DUMMYFUNCTION("""COMPUTED_VALUE"""),0.270138888888888)</f>
        <v>0.27013888888888798</v>
      </c>
      <c r="E6" s="3">
        <f ca="1">IFERROR(__xludf.DUMMYFUNCTION("""COMPUTED_VALUE"""),0.276388888888888)</f>
        <v>0.27638888888888802</v>
      </c>
      <c r="F6" s="3">
        <f ca="1">IFERROR(__xludf.DUMMYFUNCTION("""COMPUTED_VALUE"""),0.281944444444444)</f>
        <v>0.281944444444444</v>
      </c>
      <c r="G6" s="3">
        <f ca="1">IFERROR(__xludf.DUMMYFUNCTION("""COMPUTED_VALUE"""),0.2875)</f>
        <v>0.28749999999999998</v>
      </c>
      <c r="H6" s="3">
        <f ca="1">IFERROR(__xludf.DUMMYFUNCTION("""COMPUTED_VALUE"""),0.29375)</f>
        <v>0.29375000000000001</v>
      </c>
      <c r="I6" s="3">
        <f ca="1">IFERROR(__xludf.DUMMYFUNCTION("""COMPUTED_VALUE"""),0.297222222222222)</f>
        <v>0.297222222222222</v>
      </c>
      <c r="J6" s="3">
        <f ca="1">IFERROR(__xludf.DUMMYFUNCTION("""COMPUTED_VALUE"""),0.300694444444444)</f>
        <v>0.30069444444444399</v>
      </c>
      <c r="K6" s="3">
        <f ca="1">IFERROR(__xludf.DUMMYFUNCTION("""COMPUTED_VALUE"""),0.306944444444444)</f>
        <v>0.30694444444444402</v>
      </c>
      <c r="M6" s="3">
        <v>0.26041666666666669</v>
      </c>
      <c r="N6" s="3">
        <v>0.2638888888888889</v>
      </c>
      <c r="O6" s="3">
        <v>0.27013888888888887</v>
      </c>
      <c r="P6" s="3">
        <v>0.27638888888888891</v>
      </c>
      <c r="Q6" s="3">
        <v>0.28194444444444444</v>
      </c>
      <c r="R6" s="3">
        <v>0.28749999999999998</v>
      </c>
      <c r="S6" s="3">
        <v>0.29375000000000001</v>
      </c>
      <c r="T6" s="3">
        <v>0.29722222222222222</v>
      </c>
      <c r="U6" s="3">
        <v>0.30069444444444443</v>
      </c>
      <c r="V6" s="3">
        <v>0.30694444444444446</v>
      </c>
      <c r="W6" s="4">
        <f t="shared" si="0"/>
        <v>4.6527777777777779E-2</v>
      </c>
    </row>
    <row r="7" spans="1:23" ht="15.75" customHeight="1" x14ac:dyDescent="0.15">
      <c r="A7" s="2" t="s">
        <v>89</v>
      </c>
      <c r="B7" s="3">
        <f ca="1">IFERROR(__xludf.DUMMYFUNCTION("SPLIT(A7,"" "")"),0.270833333333333)</f>
        <v>0.27083333333333298</v>
      </c>
      <c r="C7" s="3">
        <f ca="1">IFERROR(__xludf.DUMMYFUNCTION("""COMPUTED_VALUE"""),0.274305555555555)</f>
        <v>0.27430555555555503</v>
      </c>
      <c r="D7" s="3">
        <f ca="1">IFERROR(__xludf.DUMMYFUNCTION("""COMPUTED_VALUE"""),0.280555555555555)</f>
        <v>0.280555555555555</v>
      </c>
      <c r="E7" s="3">
        <f ca="1">IFERROR(__xludf.DUMMYFUNCTION("""COMPUTED_VALUE"""),0.286805555555555)</f>
        <v>0.28680555555555498</v>
      </c>
      <c r="F7" s="3">
        <f ca="1">IFERROR(__xludf.DUMMYFUNCTION("""COMPUTED_VALUE"""),0.292361111111111)</f>
        <v>0.29236111111111102</v>
      </c>
      <c r="G7" s="3">
        <f ca="1">IFERROR(__xludf.DUMMYFUNCTION("""COMPUTED_VALUE"""),0.297916666666666)</f>
        <v>0.297916666666666</v>
      </c>
      <c r="H7" s="3">
        <f ca="1">IFERROR(__xludf.DUMMYFUNCTION("""COMPUTED_VALUE"""),0.30625)</f>
        <v>0.30625000000000002</v>
      </c>
      <c r="I7" s="3">
        <f ca="1">IFERROR(__xludf.DUMMYFUNCTION("""COMPUTED_VALUE"""),0.310416666666666)</f>
        <v>0.31041666666666601</v>
      </c>
      <c r="J7" s="3">
        <f ca="1">IFERROR(__xludf.DUMMYFUNCTION("""COMPUTED_VALUE"""),0.313888888888888)</f>
        <v>0.313888888888888</v>
      </c>
      <c r="K7" s="3">
        <f ca="1">IFERROR(__xludf.DUMMYFUNCTION("""COMPUTED_VALUE"""),0.320138888888888)</f>
        <v>0.32013888888888797</v>
      </c>
      <c r="M7" s="3">
        <v>0.27083333333333331</v>
      </c>
      <c r="N7" s="3">
        <v>0.27430555555555558</v>
      </c>
      <c r="O7" s="3">
        <v>0.28055555555555556</v>
      </c>
      <c r="P7" s="3">
        <v>0.28680555555555554</v>
      </c>
      <c r="Q7" s="3">
        <v>0.29236111111111113</v>
      </c>
      <c r="R7" s="3">
        <v>0.29791666666666666</v>
      </c>
      <c r="S7" s="3">
        <v>0.30625000000000002</v>
      </c>
      <c r="T7" s="3">
        <v>0.31041666666666667</v>
      </c>
      <c r="U7" s="3">
        <v>0.31388888888888888</v>
      </c>
      <c r="V7" s="3">
        <v>0.32013888888888886</v>
      </c>
      <c r="W7" s="4">
        <f t="shared" si="0"/>
        <v>4.9305555555555547E-2</v>
      </c>
    </row>
    <row r="8" spans="1:23" ht="15.75" customHeight="1" x14ac:dyDescent="0.15">
      <c r="A8" s="2" t="s">
        <v>90</v>
      </c>
      <c r="B8" s="3">
        <f ca="1">IFERROR(__xludf.DUMMYFUNCTION("SPLIT(A8,"" "")"),0.28125)</f>
        <v>0.28125</v>
      </c>
      <c r="C8" s="3">
        <f ca="1">IFERROR(__xludf.DUMMYFUNCTION("""COMPUTED_VALUE"""),0.284722222222222)</f>
        <v>0.28472222222222199</v>
      </c>
      <c r="D8" s="3">
        <f ca="1">IFERROR(__xludf.DUMMYFUNCTION("""COMPUTED_VALUE"""),0.290972222222222)</f>
        <v>0.29097222222222202</v>
      </c>
      <c r="E8" s="3">
        <f ca="1">IFERROR(__xludf.DUMMYFUNCTION("""COMPUTED_VALUE"""),0.297222222222222)</f>
        <v>0.297222222222222</v>
      </c>
      <c r="F8" s="3">
        <f ca="1">IFERROR(__xludf.DUMMYFUNCTION("""COMPUTED_VALUE"""),0.302777777777777)</f>
        <v>0.30277777777777698</v>
      </c>
      <c r="G8" s="3">
        <f ca="1">IFERROR(__xludf.DUMMYFUNCTION("""COMPUTED_VALUE"""),0.308333333333333)</f>
        <v>0.30833333333333302</v>
      </c>
      <c r="H8" s="3">
        <f ca="1">IFERROR(__xludf.DUMMYFUNCTION("""COMPUTED_VALUE"""),0.316666666666666)</f>
        <v>0.31666666666666599</v>
      </c>
      <c r="I8" s="3">
        <f ca="1">IFERROR(__xludf.DUMMYFUNCTION("""COMPUTED_VALUE"""),0.320833333333333)</f>
        <v>0.32083333333333303</v>
      </c>
      <c r="J8" s="3">
        <f ca="1">IFERROR(__xludf.DUMMYFUNCTION("""COMPUTED_VALUE"""),0.324305555555555)</f>
        <v>0.32430555555555501</v>
      </c>
      <c r="K8" s="3">
        <f ca="1">IFERROR(__xludf.DUMMYFUNCTION("""COMPUTED_VALUE"""),0.330555555555555)</f>
        <v>0.33055555555555499</v>
      </c>
      <c r="M8" s="3">
        <v>0.28125</v>
      </c>
      <c r="N8" s="3">
        <v>0.28472222222222221</v>
      </c>
      <c r="O8" s="3">
        <v>0.29097222222222224</v>
      </c>
      <c r="P8" s="3">
        <v>0.29722222222222222</v>
      </c>
      <c r="Q8" s="3">
        <v>0.30277777777777776</v>
      </c>
      <c r="R8" s="3">
        <v>0.30833333333333335</v>
      </c>
      <c r="S8" s="3">
        <v>0.31666666666666665</v>
      </c>
      <c r="T8" s="3">
        <v>0.32083333333333336</v>
      </c>
      <c r="U8" s="3">
        <v>0.32430555555555557</v>
      </c>
      <c r="V8" s="3">
        <v>0.33055555555555555</v>
      </c>
      <c r="W8" s="4">
        <f t="shared" si="0"/>
        <v>4.9305555555555547E-2</v>
      </c>
    </row>
    <row r="9" spans="1:23" ht="15.75" customHeight="1" x14ac:dyDescent="0.15">
      <c r="A9" s="2" t="s">
        <v>91</v>
      </c>
      <c r="B9" s="3">
        <f ca="1">IFERROR(__xludf.DUMMYFUNCTION("SPLIT(A9,"" "")"),0.291666666666666)</f>
        <v>0.29166666666666602</v>
      </c>
      <c r="C9" s="3">
        <f ca="1">IFERROR(__xludf.DUMMYFUNCTION("""COMPUTED_VALUE"""),0.295138888888888)</f>
        <v>0.29513888888888801</v>
      </c>
      <c r="D9" s="3">
        <f ca="1">IFERROR(__xludf.DUMMYFUNCTION("""COMPUTED_VALUE"""),0.301388888888888)</f>
        <v>0.30138888888888798</v>
      </c>
      <c r="E9" s="3">
        <f ca="1">IFERROR(__xludf.DUMMYFUNCTION("""COMPUTED_VALUE"""),0.307638888888888)</f>
        <v>0.30763888888888802</v>
      </c>
      <c r="F9" s="3">
        <f ca="1">IFERROR(__xludf.DUMMYFUNCTION("""COMPUTED_VALUE"""),0.313194444444444)</f>
        <v>0.313194444444444</v>
      </c>
      <c r="G9" s="3">
        <f ca="1">IFERROR(__xludf.DUMMYFUNCTION("""COMPUTED_VALUE"""),0.31875)</f>
        <v>0.31874999999999998</v>
      </c>
      <c r="H9" s="3">
        <f ca="1">IFERROR(__xludf.DUMMYFUNCTION("""COMPUTED_VALUE"""),0.327083333333333)</f>
        <v>0.327083333333333</v>
      </c>
      <c r="I9" s="3">
        <f ca="1">IFERROR(__xludf.DUMMYFUNCTION("""COMPUTED_VALUE"""),0.33125)</f>
        <v>0.33124999999999999</v>
      </c>
      <c r="J9" s="3">
        <f ca="1">IFERROR(__xludf.DUMMYFUNCTION("""COMPUTED_VALUE"""),0.334722222222222)</f>
        <v>0.33472222222222198</v>
      </c>
      <c r="K9" s="3">
        <f ca="1">IFERROR(__xludf.DUMMYFUNCTION("""COMPUTED_VALUE"""),0.340972222222222)</f>
        <v>0.34097222222222201</v>
      </c>
      <c r="M9" s="3">
        <v>0.29166666666666669</v>
      </c>
      <c r="N9" s="3">
        <v>0.2951388888888889</v>
      </c>
      <c r="O9" s="3">
        <v>0.30138888888888887</v>
      </c>
      <c r="P9" s="3">
        <v>0.30763888888888891</v>
      </c>
      <c r="Q9" s="3">
        <v>0.31319444444444444</v>
      </c>
      <c r="R9" s="3">
        <v>0.31874999999999998</v>
      </c>
      <c r="S9" s="3">
        <v>0.32708333333333334</v>
      </c>
      <c r="T9" s="3">
        <v>0.33124999999999999</v>
      </c>
      <c r="U9" s="3">
        <v>0.3347222222222222</v>
      </c>
      <c r="V9" s="3">
        <v>0.34097222222222223</v>
      </c>
      <c r="W9" s="4">
        <f t="shared" si="0"/>
        <v>4.9305555555555547E-2</v>
      </c>
    </row>
    <row r="10" spans="1:23" ht="15.75" customHeight="1" x14ac:dyDescent="0.15">
      <c r="A10" s="2" t="s">
        <v>92</v>
      </c>
      <c r="B10" s="3">
        <f ca="1">IFERROR(__xludf.DUMMYFUNCTION("SPLIT(A10,"" "")"),0.302083333333333)</f>
        <v>0.30208333333333298</v>
      </c>
      <c r="C10" s="3">
        <f ca="1">IFERROR(__xludf.DUMMYFUNCTION("""COMPUTED_VALUE"""),0.305555555555555)</f>
        <v>0.30555555555555503</v>
      </c>
      <c r="D10" s="3">
        <f ca="1">IFERROR(__xludf.DUMMYFUNCTION("""COMPUTED_VALUE"""),0.311805555555555)</f>
        <v>0.311805555555555</v>
      </c>
      <c r="E10" s="3">
        <f ca="1">IFERROR(__xludf.DUMMYFUNCTION("""COMPUTED_VALUE"""),0.318055555555555)</f>
        <v>0.31805555555555498</v>
      </c>
      <c r="F10" s="3">
        <f ca="1">IFERROR(__xludf.DUMMYFUNCTION("""COMPUTED_VALUE"""),0.323611111111111)</f>
        <v>0.32361111111111102</v>
      </c>
      <c r="G10" s="3">
        <f ca="1">IFERROR(__xludf.DUMMYFUNCTION("""COMPUTED_VALUE"""),0.329166666666666)</f>
        <v>0.329166666666666</v>
      </c>
      <c r="H10" s="3">
        <f ca="1">IFERROR(__xludf.DUMMYFUNCTION("""COMPUTED_VALUE"""),0.3375)</f>
        <v>0.33750000000000002</v>
      </c>
      <c r="I10" s="3">
        <f ca="1">IFERROR(__xludf.DUMMYFUNCTION("""COMPUTED_VALUE"""),0.341666666666666)</f>
        <v>0.34166666666666601</v>
      </c>
      <c r="J10" s="3">
        <f ca="1">IFERROR(__xludf.DUMMYFUNCTION("""COMPUTED_VALUE"""),0.345138888888888)</f>
        <v>0.345138888888888</v>
      </c>
      <c r="K10" s="3">
        <f ca="1">IFERROR(__xludf.DUMMYFUNCTION("""COMPUTED_VALUE"""),0.351388888888888)</f>
        <v>0.35138888888888797</v>
      </c>
      <c r="M10" s="3">
        <v>0.30208333333333331</v>
      </c>
      <c r="N10" s="3">
        <v>0.30555555555555558</v>
      </c>
      <c r="O10" s="3">
        <v>0.31180555555555556</v>
      </c>
      <c r="P10" s="3">
        <v>0.31805555555555554</v>
      </c>
      <c r="Q10" s="3">
        <v>0.32361111111111113</v>
      </c>
      <c r="R10" s="3">
        <v>0.32916666666666666</v>
      </c>
      <c r="S10" s="3">
        <v>0.33750000000000002</v>
      </c>
      <c r="T10" s="3">
        <v>0.34166666666666667</v>
      </c>
      <c r="U10" s="3">
        <v>0.34513888888888888</v>
      </c>
      <c r="V10" s="3">
        <v>0.35138888888888886</v>
      </c>
      <c r="W10" s="4">
        <f t="shared" si="0"/>
        <v>4.9305555555555547E-2</v>
      </c>
    </row>
    <row r="11" spans="1:23" ht="15.75" customHeight="1" x14ac:dyDescent="0.15">
      <c r="A11" s="2" t="s">
        <v>93</v>
      </c>
      <c r="B11" s="3">
        <f ca="1">IFERROR(__xludf.DUMMYFUNCTION("SPLIT(A11,"" "")"),0.3125)</f>
        <v>0.3125</v>
      </c>
      <c r="C11" s="3">
        <f ca="1">IFERROR(__xludf.DUMMYFUNCTION("""COMPUTED_VALUE"""),0.315972222222222)</f>
        <v>0.31597222222222199</v>
      </c>
      <c r="D11" s="3">
        <f ca="1">IFERROR(__xludf.DUMMYFUNCTION("""COMPUTED_VALUE"""),0.322222222222222)</f>
        <v>0.32222222222222202</v>
      </c>
      <c r="E11" s="3">
        <f ca="1">IFERROR(__xludf.DUMMYFUNCTION("""COMPUTED_VALUE"""),0.328472222222222)</f>
        <v>0.328472222222222</v>
      </c>
      <c r="F11" s="3">
        <f ca="1">IFERROR(__xludf.DUMMYFUNCTION("""COMPUTED_VALUE"""),0.334027777777777)</f>
        <v>0.33402777777777698</v>
      </c>
      <c r="G11" s="3">
        <f ca="1">IFERROR(__xludf.DUMMYFUNCTION("""COMPUTED_VALUE"""),0.339583333333333)</f>
        <v>0.33958333333333302</v>
      </c>
      <c r="H11" s="3">
        <f ca="1">IFERROR(__xludf.DUMMYFUNCTION("""COMPUTED_VALUE"""),0.347916666666666)</f>
        <v>0.34791666666666599</v>
      </c>
      <c r="I11" s="3">
        <f ca="1">IFERROR(__xludf.DUMMYFUNCTION("""COMPUTED_VALUE"""),0.352083333333333)</f>
        <v>0.35208333333333303</v>
      </c>
      <c r="J11" s="3">
        <f ca="1">IFERROR(__xludf.DUMMYFUNCTION("""COMPUTED_VALUE"""),0.355555555555555)</f>
        <v>0.35555555555555501</v>
      </c>
      <c r="K11" s="3">
        <f ca="1">IFERROR(__xludf.DUMMYFUNCTION("""COMPUTED_VALUE"""),0.361805555555555)</f>
        <v>0.36180555555555499</v>
      </c>
      <c r="M11" s="3">
        <v>0.3125</v>
      </c>
      <c r="N11" s="3">
        <v>0.31597222222222221</v>
      </c>
      <c r="O11" s="3">
        <v>0.32222222222222224</v>
      </c>
      <c r="P11" s="3">
        <v>0.32847222222222222</v>
      </c>
      <c r="Q11" s="3">
        <v>0.33402777777777776</v>
      </c>
      <c r="R11" s="3">
        <v>0.33958333333333335</v>
      </c>
      <c r="S11" s="3">
        <v>0.34791666666666665</v>
      </c>
      <c r="T11" s="3">
        <v>0.35208333333333336</v>
      </c>
      <c r="U11" s="3">
        <v>0.35555555555555557</v>
      </c>
      <c r="V11" s="3">
        <v>0.36180555555555555</v>
      </c>
      <c r="W11" s="4">
        <f t="shared" si="0"/>
        <v>4.9305555555555547E-2</v>
      </c>
    </row>
    <row r="12" spans="1:23" ht="15.75" customHeight="1" x14ac:dyDescent="0.15">
      <c r="A12" s="2" t="s">
        <v>94</v>
      </c>
      <c r="B12" s="3">
        <f ca="1">IFERROR(__xludf.DUMMYFUNCTION("SPLIT(A12,"" "")"),0.322916666666666)</f>
        <v>0.32291666666666602</v>
      </c>
      <c r="C12" s="3">
        <f ca="1">IFERROR(__xludf.DUMMYFUNCTION("""COMPUTED_VALUE"""),0.327083333333333)</f>
        <v>0.327083333333333</v>
      </c>
      <c r="D12" s="3">
        <f ca="1">IFERROR(__xludf.DUMMYFUNCTION("""COMPUTED_VALUE"""),0.334027777777777)</f>
        <v>0.33402777777777698</v>
      </c>
      <c r="E12" s="3">
        <f ca="1">IFERROR(__xludf.DUMMYFUNCTION("""COMPUTED_VALUE"""),0.341666666666666)</f>
        <v>0.34166666666666601</v>
      </c>
      <c r="F12" s="3">
        <f ca="1">IFERROR(__xludf.DUMMYFUNCTION("""COMPUTED_VALUE"""),0.348611111111111)</f>
        <v>0.34861111111111098</v>
      </c>
      <c r="G12" s="3">
        <f ca="1">IFERROR(__xludf.DUMMYFUNCTION("""COMPUTED_VALUE"""),0.355555555555555)</f>
        <v>0.35555555555555501</v>
      </c>
      <c r="H12" s="3">
        <f ca="1">IFERROR(__xludf.DUMMYFUNCTION("""COMPUTED_VALUE"""),0.364583333333333)</f>
        <v>0.36458333333333298</v>
      </c>
      <c r="I12" s="3">
        <f ca="1">IFERROR(__xludf.DUMMYFUNCTION("""COMPUTED_VALUE"""),0.369444444444444)</f>
        <v>0.36944444444444402</v>
      </c>
      <c r="J12" s="3">
        <f ca="1">IFERROR(__xludf.DUMMYFUNCTION("""COMPUTED_VALUE"""),0.375)</f>
        <v>0.375</v>
      </c>
      <c r="K12" s="3">
        <f ca="1">IFERROR(__xludf.DUMMYFUNCTION("""COMPUTED_VALUE"""),0.38125)</f>
        <v>0.38124999999999998</v>
      </c>
      <c r="M12" s="3">
        <v>0.32291666666666669</v>
      </c>
      <c r="N12" s="3">
        <v>0.32708333333333334</v>
      </c>
      <c r="O12" s="3">
        <v>0.33402777777777776</v>
      </c>
      <c r="P12" s="3">
        <v>0.34166666666666667</v>
      </c>
      <c r="Q12" s="3">
        <v>0.34861111111111109</v>
      </c>
      <c r="R12" s="3">
        <v>0.35555555555555557</v>
      </c>
      <c r="S12" s="3">
        <v>0.36458333333333331</v>
      </c>
      <c r="T12" s="3">
        <v>0.36944444444444446</v>
      </c>
      <c r="U12" s="3">
        <v>0.375</v>
      </c>
      <c r="V12" s="3">
        <v>0.38124999999999998</v>
      </c>
      <c r="W12" s="4">
        <f t="shared" si="0"/>
        <v>5.8333333333333293E-2</v>
      </c>
    </row>
    <row r="13" spans="1:23" ht="15.75" customHeight="1" x14ac:dyDescent="0.15">
      <c r="A13" s="2" t="s">
        <v>95</v>
      </c>
      <c r="B13" s="3">
        <f ca="1">IFERROR(__xludf.DUMMYFUNCTION("SPLIT(A13,"" "")"),0.333333333333333)</f>
        <v>0.33333333333333298</v>
      </c>
      <c r="C13" s="3">
        <f ca="1">IFERROR(__xludf.DUMMYFUNCTION("""COMPUTED_VALUE"""),0.3375)</f>
        <v>0.33750000000000002</v>
      </c>
      <c r="D13" s="3">
        <f ca="1">IFERROR(__xludf.DUMMYFUNCTION("""COMPUTED_VALUE"""),0.344444444444444)</f>
        <v>0.344444444444444</v>
      </c>
      <c r="E13" s="3">
        <f ca="1">IFERROR(__xludf.DUMMYFUNCTION("""COMPUTED_VALUE"""),0.352083333333333)</f>
        <v>0.35208333333333303</v>
      </c>
      <c r="F13" s="3">
        <f ca="1">IFERROR(__xludf.DUMMYFUNCTION("""COMPUTED_VALUE"""),0.359027777777777)</f>
        <v>0.359027777777777</v>
      </c>
      <c r="G13" s="3">
        <f ca="1">IFERROR(__xludf.DUMMYFUNCTION("""COMPUTED_VALUE"""),0.365972222222222)</f>
        <v>0.36597222222222198</v>
      </c>
      <c r="H13" s="3">
        <f ca="1">IFERROR(__xludf.DUMMYFUNCTION("""COMPUTED_VALUE"""),0.375)</f>
        <v>0.375</v>
      </c>
      <c r="I13" s="3">
        <f ca="1">IFERROR(__xludf.DUMMYFUNCTION("""COMPUTED_VALUE"""),0.379861111111111)</f>
        <v>0.37986111111111098</v>
      </c>
      <c r="J13" s="3">
        <f ca="1">IFERROR(__xludf.DUMMYFUNCTION("""COMPUTED_VALUE"""),0.385416666666666)</f>
        <v>0.38541666666666602</v>
      </c>
      <c r="K13" s="3">
        <f ca="1">IFERROR(__xludf.DUMMYFUNCTION("""COMPUTED_VALUE"""),0.391666666666666)</f>
        <v>0.391666666666666</v>
      </c>
      <c r="M13" s="3">
        <v>0.33333333333333331</v>
      </c>
      <c r="N13" s="3">
        <v>0.33750000000000002</v>
      </c>
      <c r="O13" s="3">
        <v>0.34444444444444444</v>
      </c>
      <c r="P13" s="3">
        <v>0.35208333333333336</v>
      </c>
      <c r="Q13" s="3">
        <v>0.35902777777777778</v>
      </c>
      <c r="R13" s="3">
        <v>0.3659722222222222</v>
      </c>
      <c r="S13" s="3">
        <v>0.375</v>
      </c>
      <c r="T13" s="3">
        <v>0.37986111111111109</v>
      </c>
      <c r="U13" s="3">
        <v>0.38541666666666669</v>
      </c>
      <c r="V13" s="3">
        <v>0.39166666666666666</v>
      </c>
      <c r="W13" s="4">
        <f t="shared" si="0"/>
        <v>5.8333333333333348E-2</v>
      </c>
    </row>
    <row r="14" spans="1:23" ht="15.75" customHeight="1" x14ac:dyDescent="0.15">
      <c r="A14" s="2" t="s">
        <v>96</v>
      </c>
      <c r="B14" s="3">
        <f ca="1">IFERROR(__xludf.DUMMYFUNCTION("SPLIT(A14,"" "")"),0.34375)</f>
        <v>0.34375</v>
      </c>
      <c r="C14" s="3">
        <f ca="1">IFERROR(__xludf.DUMMYFUNCTION("""COMPUTED_VALUE"""),0.347916666666666)</f>
        <v>0.34791666666666599</v>
      </c>
      <c r="D14" s="3">
        <f ca="1">IFERROR(__xludf.DUMMYFUNCTION("""COMPUTED_VALUE"""),0.354861111111111)</f>
        <v>0.35486111111111102</v>
      </c>
      <c r="E14" s="3">
        <f ca="1">IFERROR(__xludf.DUMMYFUNCTION("""COMPUTED_VALUE"""),0.3625)</f>
        <v>0.36249999999999999</v>
      </c>
      <c r="F14" s="3">
        <f ca="1">IFERROR(__xludf.DUMMYFUNCTION("""COMPUTED_VALUE"""),0.369444444444444)</f>
        <v>0.36944444444444402</v>
      </c>
      <c r="G14" s="3">
        <f ca="1">IFERROR(__xludf.DUMMYFUNCTION("""COMPUTED_VALUE"""),0.376388888888888)</f>
        <v>0.376388888888888</v>
      </c>
      <c r="H14" s="3">
        <f ca="1">IFERROR(__xludf.DUMMYFUNCTION("""COMPUTED_VALUE"""),0.385416666666666)</f>
        <v>0.38541666666666602</v>
      </c>
      <c r="I14" s="3">
        <f ca="1">IFERROR(__xludf.DUMMYFUNCTION("""COMPUTED_VALUE"""),0.390277777777777)</f>
        <v>0.390277777777777</v>
      </c>
      <c r="J14" s="3">
        <f ca="1">IFERROR(__xludf.DUMMYFUNCTION("""COMPUTED_VALUE"""),0.395833333333333)</f>
        <v>0.39583333333333298</v>
      </c>
      <c r="K14" s="3">
        <f ca="1">IFERROR(__xludf.DUMMYFUNCTION("""COMPUTED_VALUE"""),0.402083333333333)</f>
        <v>0.40208333333333302</v>
      </c>
      <c r="M14" s="3">
        <v>0.34375</v>
      </c>
      <c r="N14" s="3">
        <v>0.34791666666666665</v>
      </c>
      <c r="O14" s="3">
        <v>0.35486111111111113</v>
      </c>
      <c r="P14" s="3">
        <v>0.36249999999999999</v>
      </c>
      <c r="Q14" s="3">
        <v>0.36944444444444446</v>
      </c>
      <c r="R14" s="3">
        <v>0.37638888888888888</v>
      </c>
      <c r="S14" s="3">
        <v>0.38541666666666669</v>
      </c>
      <c r="T14" s="3">
        <v>0.39027777777777778</v>
      </c>
      <c r="U14" s="3">
        <v>0.39583333333333331</v>
      </c>
      <c r="V14" s="3">
        <v>0.40208333333333335</v>
      </c>
      <c r="W14" s="4">
        <f t="shared" si="0"/>
        <v>5.8333333333333348E-2</v>
      </c>
    </row>
    <row r="15" spans="1:23" ht="15.75" customHeight="1" x14ac:dyDescent="0.15">
      <c r="A15" s="2" t="s">
        <v>97</v>
      </c>
      <c r="B15" s="3">
        <f ca="1">IFERROR(__xludf.DUMMYFUNCTION("SPLIT(A15,"" "")"),0.354166666666666)</f>
        <v>0.35416666666666602</v>
      </c>
      <c r="C15" s="3">
        <f ca="1">IFERROR(__xludf.DUMMYFUNCTION("""COMPUTED_VALUE"""),0.358333333333333)</f>
        <v>0.358333333333333</v>
      </c>
      <c r="D15" s="3">
        <f ca="1">IFERROR(__xludf.DUMMYFUNCTION("""COMPUTED_VALUE"""),0.365277777777777)</f>
        <v>0.36527777777777698</v>
      </c>
      <c r="E15" s="3">
        <f ca="1">IFERROR(__xludf.DUMMYFUNCTION("""COMPUTED_VALUE"""),0.372916666666666)</f>
        <v>0.37291666666666601</v>
      </c>
      <c r="F15" s="3">
        <f ca="1">IFERROR(__xludf.DUMMYFUNCTION("""COMPUTED_VALUE"""),0.379861111111111)</f>
        <v>0.37986111111111098</v>
      </c>
      <c r="G15" s="3">
        <f ca="1">IFERROR(__xludf.DUMMYFUNCTION("""COMPUTED_VALUE"""),0.386805555555555)</f>
        <v>0.38680555555555501</v>
      </c>
      <c r="H15" s="3">
        <f ca="1">IFERROR(__xludf.DUMMYFUNCTION("""COMPUTED_VALUE"""),0.395833333333333)</f>
        <v>0.39583333333333298</v>
      </c>
      <c r="I15" s="3">
        <f ca="1">IFERROR(__xludf.DUMMYFUNCTION("""COMPUTED_VALUE"""),0.400694444444444)</f>
        <v>0.40069444444444402</v>
      </c>
      <c r="J15" s="3">
        <f ca="1">IFERROR(__xludf.DUMMYFUNCTION("""COMPUTED_VALUE"""),0.40625)</f>
        <v>0.40625</v>
      </c>
      <c r="K15" s="3">
        <f ca="1">IFERROR(__xludf.DUMMYFUNCTION("""COMPUTED_VALUE"""),0.4125)</f>
        <v>0.41249999999999998</v>
      </c>
      <c r="M15" s="3">
        <v>0.35416666666666669</v>
      </c>
      <c r="N15" s="3">
        <v>0.35833333333333334</v>
      </c>
      <c r="O15" s="3">
        <v>0.36527777777777776</v>
      </c>
      <c r="P15" s="3">
        <v>0.37291666666666667</v>
      </c>
      <c r="Q15" s="3">
        <v>0.37986111111111109</v>
      </c>
      <c r="R15" s="3">
        <v>0.38680555555555557</v>
      </c>
      <c r="S15" s="3">
        <v>0.39583333333333331</v>
      </c>
      <c r="T15" s="3">
        <v>0.40069444444444446</v>
      </c>
      <c r="U15" s="3">
        <v>0.40625</v>
      </c>
      <c r="V15" s="3">
        <v>0.41249999999999998</v>
      </c>
      <c r="W15" s="4">
        <f t="shared" si="0"/>
        <v>5.8333333333333293E-2</v>
      </c>
    </row>
    <row r="16" spans="1:23" ht="15.75" customHeight="1" x14ac:dyDescent="0.15">
      <c r="A16" s="2" t="s">
        <v>98</v>
      </c>
      <c r="B16" s="3">
        <f ca="1">IFERROR(__xludf.DUMMYFUNCTION("SPLIT(A16,"" "")"),0.364583333333333)</f>
        <v>0.36458333333333298</v>
      </c>
      <c r="C16" s="3">
        <f ca="1">IFERROR(__xludf.DUMMYFUNCTION("""COMPUTED_VALUE"""),0.36875)</f>
        <v>0.36875000000000002</v>
      </c>
      <c r="D16" s="3">
        <f ca="1">IFERROR(__xludf.DUMMYFUNCTION("""COMPUTED_VALUE"""),0.375694444444444)</f>
        <v>0.375694444444444</v>
      </c>
      <c r="E16" s="3">
        <f ca="1">IFERROR(__xludf.DUMMYFUNCTION("""COMPUTED_VALUE"""),0.383333333333333)</f>
        <v>0.38333333333333303</v>
      </c>
      <c r="F16" s="3">
        <f ca="1">IFERROR(__xludf.DUMMYFUNCTION("""COMPUTED_VALUE"""),0.390277777777777)</f>
        <v>0.390277777777777</v>
      </c>
      <c r="G16" s="3">
        <f ca="1">IFERROR(__xludf.DUMMYFUNCTION("""COMPUTED_VALUE"""),0.397222222222222)</f>
        <v>0.39722222222222198</v>
      </c>
      <c r="H16" s="3">
        <f ca="1">IFERROR(__xludf.DUMMYFUNCTION("""COMPUTED_VALUE"""),0.40625)</f>
        <v>0.40625</v>
      </c>
      <c r="I16" s="3">
        <f ca="1">IFERROR(__xludf.DUMMYFUNCTION("""COMPUTED_VALUE"""),0.411111111111111)</f>
        <v>0.41111111111111098</v>
      </c>
      <c r="J16" s="3">
        <f ca="1">IFERROR(__xludf.DUMMYFUNCTION("""COMPUTED_VALUE"""),0.416666666666666)</f>
        <v>0.41666666666666602</v>
      </c>
      <c r="K16" s="3">
        <f ca="1">IFERROR(__xludf.DUMMYFUNCTION("""COMPUTED_VALUE"""),0.422916666666666)</f>
        <v>0.422916666666666</v>
      </c>
      <c r="M16" s="3">
        <v>0.36458333333333331</v>
      </c>
      <c r="N16" s="3">
        <v>0.36875000000000002</v>
      </c>
      <c r="O16" s="3">
        <v>0.37569444444444444</v>
      </c>
      <c r="P16" s="3">
        <v>0.38333333333333336</v>
      </c>
      <c r="Q16" s="3">
        <v>0.39027777777777778</v>
      </c>
      <c r="R16" s="3">
        <v>0.3972222222222222</v>
      </c>
      <c r="S16" s="3">
        <v>0.40625</v>
      </c>
      <c r="T16" s="3">
        <v>0.41111111111111109</v>
      </c>
      <c r="U16" s="3">
        <v>0.41666666666666669</v>
      </c>
      <c r="V16" s="3">
        <v>0.42291666666666666</v>
      </c>
      <c r="W16" s="4">
        <f t="shared" si="0"/>
        <v>5.8333333333333348E-2</v>
      </c>
    </row>
    <row r="17" spans="1:23" ht="15.75" customHeight="1" x14ac:dyDescent="0.15">
      <c r="A17" s="2" t="s">
        <v>99</v>
      </c>
      <c r="B17" s="3">
        <f ca="1">IFERROR(__xludf.DUMMYFUNCTION("SPLIT(A17,"" "")"),0.375)</f>
        <v>0.375</v>
      </c>
      <c r="C17" s="3">
        <f ca="1">IFERROR(__xludf.DUMMYFUNCTION("""COMPUTED_VALUE"""),0.379166666666666)</f>
        <v>0.37916666666666599</v>
      </c>
      <c r="D17" s="3">
        <f ca="1">IFERROR(__xludf.DUMMYFUNCTION("""COMPUTED_VALUE"""),0.386111111111111)</f>
        <v>0.38611111111111102</v>
      </c>
      <c r="E17" s="3">
        <f ca="1">IFERROR(__xludf.DUMMYFUNCTION("""COMPUTED_VALUE"""),0.39375)</f>
        <v>0.39374999999999999</v>
      </c>
      <c r="F17" s="3">
        <f ca="1">IFERROR(__xludf.DUMMYFUNCTION("""COMPUTED_VALUE"""),0.400694444444444)</f>
        <v>0.40069444444444402</v>
      </c>
      <c r="G17" s="3">
        <f ca="1">IFERROR(__xludf.DUMMYFUNCTION("""COMPUTED_VALUE"""),0.407638888888888)</f>
        <v>0.407638888888888</v>
      </c>
      <c r="H17" s="3">
        <f ca="1">IFERROR(__xludf.DUMMYFUNCTION("""COMPUTED_VALUE"""),0.416666666666666)</f>
        <v>0.41666666666666602</v>
      </c>
      <c r="I17" s="3">
        <f ca="1">IFERROR(__xludf.DUMMYFUNCTION("""COMPUTED_VALUE"""),0.421527777777777)</f>
        <v>0.421527777777777</v>
      </c>
      <c r="J17" s="3">
        <f ca="1">IFERROR(__xludf.DUMMYFUNCTION("""COMPUTED_VALUE"""),0.427083333333333)</f>
        <v>0.42708333333333298</v>
      </c>
      <c r="K17" s="3">
        <f ca="1">IFERROR(__xludf.DUMMYFUNCTION("""COMPUTED_VALUE"""),0.433333333333333)</f>
        <v>0.43333333333333302</v>
      </c>
      <c r="M17" s="3">
        <v>0.375</v>
      </c>
      <c r="N17" s="3">
        <v>0.37916666666666665</v>
      </c>
      <c r="O17" s="3">
        <v>0.38611111111111113</v>
      </c>
      <c r="P17" s="3">
        <v>0.39374999999999999</v>
      </c>
      <c r="Q17" s="3">
        <v>0.40069444444444446</v>
      </c>
      <c r="R17" s="3">
        <v>0.40763888888888888</v>
      </c>
      <c r="S17" s="3">
        <v>0.41666666666666669</v>
      </c>
      <c r="T17" s="3">
        <v>0.42152777777777778</v>
      </c>
      <c r="U17" s="3">
        <v>0.42708333333333331</v>
      </c>
      <c r="V17" s="3">
        <v>0.43333333333333335</v>
      </c>
      <c r="W17" s="4">
        <f t="shared" si="0"/>
        <v>5.8333333333333348E-2</v>
      </c>
    </row>
    <row r="18" spans="1:23" ht="15.75" customHeight="1" x14ac:dyDescent="0.15">
      <c r="A18" s="2" t="s">
        <v>100</v>
      </c>
      <c r="B18" s="3">
        <f ca="1">IFERROR(__xludf.DUMMYFUNCTION("SPLIT(A18,"" "")"),0.385416666666666)</f>
        <v>0.38541666666666602</v>
      </c>
      <c r="C18" s="3">
        <f ca="1">IFERROR(__xludf.DUMMYFUNCTION("""COMPUTED_VALUE"""),0.389583333333333)</f>
        <v>0.389583333333333</v>
      </c>
      <c r="D18" s="3">
        <f ca="1">IFERROR(__xludf.DUMMYFUNCTION("""COMPUTED_VALUE"""),0.396527777777777)</f>
        <v>0.39652777777777698</v>
      </c>
      <c r="E18" s="3">
        <f ca="1">IFERROR(__xludf.DUMMYFUNCTION("""COMPUTED_VALUE"""),0.404166666666666)</f>
        <v>0.40416666666666601</v>
      </c>
      <c r="F18" s="3">
        <f ca="1">IFERROR(__xludf.DUMMYFUNCTION("""COMPUTED_VALUE"""),0.411111111111111)</f>
        <v>0.41111111111111098</v>
      </c>
      <c r="G18" s="3">
        <f ca="1">IFERROR(__xludf.DUMMYFUNCTION("""COMPUTED_VALUE"""),0.418055555555555)</f>
        <v>0.41805555555555501</v>
      </c>
      <c r="H18" s="3">
        <f ca="1">IFERROR(__xludf.DUMMYFUNCTION("""COMPUTED_VALUE"""),0.427083333333333)</f>
        <v>0.42708333333333298</v>
      </c>
      <c r="I18" s="3">
        <f ca="1">IFERROR(__xludf.DUMMYFUNCTION("""COMPUTED_VALUE"""),0.431944444444444)</f>
        <v>0.43194444444444402</v>
      </c>
      <c r="J18" s="3">
        <f ca="1">IFERROR(__xludf.DUMMYFUNCTION("""COMPUTED_VALUE"""),0.4375)</f>
        <v>0.4375</v>
      </c>
      <c r="K18" s="3">
        <f ca="1">IFERROR(__xludf.DUMMYFUNCTION("""COMPUTED_VALUE"""),0.44375)</f>
        <v>0.44374999999999998</v>
      </c>
      <c r="M18" s="3">
        <v>0.38541666666666669</v>
      </c>
      <c r="N18" s="3">
        <v>0.38958333333333334</v>
      </c>
      <c r="O18" s="3">
        <v>0.39652777777777776</v>
      </c>
      <c r="P18" s="3">
        <v>0.40416666666666667</v>
      </c>
      <c r="Q18" s="3">
        <v>0.41111111111111109</v>
      </c>
      <c r="R18" s="3">
        <v>0.41805555555555557</v>
      </c>
      <c r="S18" s="3">
        <v>0.42708333333333331</v>
      </c>
      <c r="T18" s="3">
        <v>0.43194444444444446</v>
      </c>
      <c r="U18" s="3">
        <v>0.4375</v>
      </c>
      <c r="V18" s="3">
        <v>0.44374999999999998</v>
      </c>
      <c r="W18" s="4">
        <f t="shared" si="0"/>
        <v>5.8333333333333293E-2</v>
      </c>
    </row>
    <row r="19" spans="1:23" ht="15.75" customHeight="1" x14ac:dyDescent="0.15">
      <c r="A19" s="2" t="s">
        <v>101</v>
      </c>
      <c r="B19" s="3">
        <f ca="1">IFERROR(__xludf.DUMMYFUNCTION("SPLIT(A19,"" "")"),0.395833333333333)</f>
        <v>0.39583333333333298</v>
      </c>
      <c r="C19" s="3">
        <f ca="1">IFERROR(__xludf.DUMMYFUNCTION("""COMPUTED_VALUE"""),0.4)</f>
        <v>0.4</v>
      </c>
      <c r="D19" s="3">
        <f ca="1">IFERROR(__xludf.DUMMYFUNCTION("""COMPUTED_VALUE"""),0.406944444444444)</f>
        <v>0.406944444444444</v>
      </c>
      <c r="E19" s="3">
        <f ca="1">IFERROR(__xludf.DUMMYFUNCTION("""COMPUTED_VALUE"""),0.414583333333333)</f>
        <v>0.41458333333333303</v>
      </c>
      <c r="F19" s="3">
        <f ca="1">IFERROR(__xludf.DUMMYFUNCTION("""COMPUTED_VALUE"""),0.421527777777777)</f>
        <v>0.421527777777777</v>
      </c>
      <c r="G19" s="3">
        <f ca="1">IFERROR(__xludf.DUMMYFUNCTION("""COMPUTED_VALUE"""),0.428472222222222)</f>
        <v>0.42847222222222198</v>
      </c>
      <c r="H19" s="3">
        <f ca="1">IFERROR(__xludf.DUMMYFUNCTION("""COMPUTED_VALUE"""),0.4375)</f>
        <v>0.4375</v>
      </c>
      <c r="I19" s="3">
        <f ca="1">IFERROR(__xludf.DUMMYFUNCTION("""COMPUTED_VALUE"""),0.442361111111111)</f>
        <v>0.44236111111111098</v>
      </c>
      <c r="J19" s="3">
        <f ca="1">IFERROR(__xludf.DUMMYFUNCTION("""COMPUTED_VALUE"""),0.447916666666666)</f>
        <v>0.44791666666666602</v>
      </c>
      <c r="K19" s="3">
        <f ca="1">IFERROR(__xludf.DUMMYFUNCTION("""COMPUTED_VALUE"""),0.454166666666666)</f>
        <v>0.454166666666666</v>
      </c>
      <c r="M19" s="3">
        <v>0.39583333333333331</v>
      </c>
      <c r="N19" s="3">
        <v>0.4</v>
      </c>
      <c r="O19" s="3">
        <v>0.40694444444444444</v>
      </c>
      <c r="P19" s="3">
        <v>0.41458333333333336</v>
      </c>
      <c r="Q19" s="3">
        <v>0.42152777777777778</v>
      </c>
      <c r="R19" s="3">
        <v>0.4284722222222222</v>
      </c>
      <c r="S19" s="3">
        <v>0.4375</v>
      </c>
      <c r="T19" s="3">
        <v>0.44236111111111109</v>
      </c>
      <c r="U19" s="3">
        <v>0.44791666666666669</v>
      </c>
      <c r="V19" s="3">
        <v>0.45416666666666666</v>
      </c>
      <c r="W19" s="4">
        <f t="shared" si="0"/>
        <v>5.8333333333333348E-2</v>
      </c>
    </row>
    <row r="20" spans="1:23" ht="15.75" customHeight="1" x14ac:dyDescent="0.15">
      <c r="A20" s="2" t="s">
        <v>102</v>
      </c>
      <c r="B20" s="3">
        <f ca="1">IFERROR(__xludf.DUMMYFUNCTION("SPLIT(A20,"" "")"),0.40625)</f>
        <v>0.40625</v>
      </c>
      <c r="C20" s="3">
        <f ca="1">IFERROR(__xludf.DUMMYFUNCTION("""COMPUTED_VALUE"""),0.410416666666666)</f>
        <v>0.41041666666666599</v>
      </c>
      <c r="D20" s="3">
        <f ca="1">IFERROR(__xludf.DUMMYFUNCTION("""COMPUTED_VALUE"""),0.417361111111111)</f>
        <v>0.41736111111111102</v>
      </c>
      <c r="E20" s="3">
        <f ca="1">IFERROR(__xludf.DUMMYFUNCTION("""COMPUTED_VALUE"""),0.425)</f>
        <v>0.42499999999999999</v>
      </c>
      <c r="F20" s="3">
        <f ca="1">IFERROR(__xludf.DUMMYFUNCTION("""COMPUTED_VALUE"""),0.431944444444444)</f>
        <v>0.43194444444444402</v>
      </c>
      <c r="G20" s="3">
        <f ca="1">IFERROR(__xludf.DUMMYFUNCTION("""COMPUTED_VALUE"""),0.438888888888888)</f>
        <v>0.438888888888888</v>
      </c>
      <c r="H20" s="3">
        <f ca="1">IFERROR(__xludf.DUMMYFUNCTION("""COMPUTED_VALUE"""),0.447916666666666)</f>
        <v>0.44791666666666602</v>
      </c>
      <c r="I20" s="3">
        <f ca="1">IFERROR(__xludf.DUMMYFUNCTION("""COMPUTED_VALUE"""),0.452777777777777)</f>
        <v>0.452777777777777</v>
      </c>
      <c r="J20" s="3">
        <f ca="1">IFERROR(__xludf.DUMMYFUNCTION("""COMPUTED_VALUE"""),0.458333333333333)</f>
        <v>0.45833333333333298</v>
      </c>
      <c r="K20" s="3">
        <f ca="1">IFERROR(__xludf.DUMMYFUNCTION("""COMPUTED_VALUE"""),0.464583333333333)</f>
        <v>0.46458333333333302</v>
      </c>
      <c r="M20" s="3">
        <v>0.40625</v>
      </c>
      <c r="N20" s="3">
        <v>0.41041666666666665</v>
      </c>
      <c r="O20" s="3">
        <v>0.41736111111111113</v>
      </c>
      <c r="P20" s="3">
        <v>0.42499999999999999</v>
      </c>
      <c r="Q20" s="3">
        <v>0.43194444444444446</v>
      </c>
      <c r="R20" s="3">
        <v>0.43888888888888888</v>
      </c>
      <c r="S20" s="3">
        <v>0.44791666666666669</v>
      </c>
      <c r="T20" s="3">
        <v>0.45277777777777778</v>
      </c>
      <c r="U20" s="3">
        <v>0.45833333333333331</v>
      </c>
      <c r="V20" s="3">
        <v>0.46458333333333335</v>
      </c>
      <c r="W20" s="4">
        <f t="shared" si="0"/>
        <v>5.8333333333333348E-2</v>
      </c>
    </row>
    <row r="21" spans="1:23" ht="15.75" customHeight="1" x14ac:dyDescent="0.15">
      <c r="A21" s="2" t="s">
        <v>103</v>
      </c>
      <c r="B21" s="3">
        <f ca="1">IFERROR(__xludf.DUMMYFUNCTION("SPLIT(A21,"" "")"),0.416666666666666)</f>
        <v>0.41666666666666602</v>
      </c>
      <c r="C21" s="3">
        <f ca="1">IFERROR(__xludf.DUMMYFUNCTION("""COMPUTED_VALUE"""),0.420833333333333)</f>
        <v>0.420833333333333</v>
      </c>
      <c r="D21" s="3">
        <f ca="1">IFERROR(__xludf.DUMMYFUNCTION("""COMPUTED_VALUE"""),0.427777777777777)</f>
        <v>0.42777777777777698</v>
      </c>
      <c r="E21" s="3">
        <f ca="1">IFERROR(__xludf.DUMMYFUNCTION("""COMPUTED_VALUE"""),0.435416666666666)</f>
        <v>0.43541666666666601</v>
      </c>
      <c r="F21" s="3">
        <f ca="1">IFERROR(__xludf.DUMMYFUNCTION("""COMPUTED_VALUE"""),0.442361111111111)</f>
        <v>0.44236111111111098</v>
      </c>
      <c r="G21" s="3">
        <f ca="1">IFERROR(__xludf.DUMMYFUNCTION("""COMPUTED_VALUE"""),0.449305555555555)</f>
        <v>0.44930555555555501</v>
      </c>
      <c r="H21" s="3">
        <f ca="1">IFERROR(__xludf.DUMMYFUNCTION("""COMPUTED_VALUE"""),0.458333333333333)</f>
        <v>0.45833333333333298</v>
      </c>
      <c r="I21" s="3">
        <f ca="1">IFERROR(__xludf.DUMMYFUNCTION("""COMPUTED_VALUE"""),0.463194444444444)</f>
        <v>0.46319444444444402</v>
      </c>
      <c r="J21" s="3">
        <f ca="1">IFERROR(__xludf.DUMMYFUNCTION("""COMPUTED_VALUE"""),0.46875)</f>
        <v>0.46875</v>
      </c>
      <c r="K21" s="3">
        <f ca="1">IFERROR(__xludf.DUMMYFUNCTION("""COMPUTED_VALUE"""),0.475)</f>
        <v>0.47499999999999998</v>
      </c>
      <c r="M21" s="3">
        <v>0.41666666666666669</v>
      </c>
      <c r="N21" s="3">
        <v>0.42083333333333334</v>
      </c>
      <c r="O21" s="3">
        <v>0.42777777777777776</v>
      </c>
      <c r="P21" s="3">
        <v>0.43541666666666667</v>
      </c>
      <c r="Q21" s="3">
        <v>0.44236111111111109</v>
      </c>
      <c r="R21" s="3">
        <v>0.44930555555555557</v>
      </c>
      <c r="S21" s="3">
        <v>0.45833333333333331</v>
      </c>
      <c r="T21" s="3">
        <v>0.46319444444444446</v>
      </c>
      <c r="U21" s="3">
        <v>0.46875</v>
      </c>
      <c r="V21" s="3">
        <v>0.47499999999999998</v>
      </c>
      <c r="W21" s="4">
        <f t="shared" si="0"/>
        <v>5.8333333333333293E-2</v>
      </c>
    </row>
    <row r="22" spans="1:23" ht="15.75" customHeight="1" x14ac:dyDescent="0.15">
      <c r="A22" s="2" t="s">
        <v>104</v>
      </c>
      <c r="B22" s="3">
        <f ca="1">IFERROR(__xludf.DUMMYFUNCTION("SPLIT(A22,"" "")"),0.427083333333333)</f>
        <v>0.42708333333333298</v>
      </c>
      <c r="C22" s="3">
        <f ca="1">IFERROR(__xludf.DUMMYFUNCTION("""COMPUTED_VALUE"""),0.43125)</f>
        <v>0.43125000000000002</v>
      </c>
      <c r="D22" s="3">
        <f ca="1">IFERROR(__xludf.DUMMYFUNCTION("""COMPUTED_VALUE"""),0.438194444444444)</f>
        <v>0.438194444444444</v>
      </c>
      <c r="E22" s="3">
        <f ca="1">IFERROR(__xludf.DUMMYFUNCTION("""COMPUTED_VALUE"""),0.445833333333333)</f>
        <v>0.44583333333333303</v>
      </c>
      <c r="F22" s="3">
        <f ca="1">IFERROR(__xludf.DUMMYFUNCTION("""COMPUTED_VALUE"""),0.452777777777777)</f>
        <v>0.452777777777777</v>
      </c>
      <c r="G22" s="3">
        <f ca="1">IFERROR(__xludf.DUMMYFUNCTION("""COMPUTED_VALUE"""),0.459722222222222)</f>
        <v>0.45972222222222198</v>
      </c>
      <c r="H22" s="3">
        <f ca="1">IFERROR(__xludf.DUMMYFUNCTION("""COMPUTED_VALUE"""),0.46875)</f>
        <v>0.46875</v>
      </c>
      <c r="I22" s="3">
        <f ca="1">IFERROR(__xludf.DUMMYFUNCTION("""COMPUTED_VALUE"""),0.473611111111111)</f>
        <v>0.47361111111111098</v>
      </c>
      <c r="J22" s="3">
        <f ca="1">IFERROR(__xludf.DUMMYFUNCTION("""COMPUTED_VALUE"""),0.479166666666666)</f>
        <v>0.47916666666666602</v>
      </c>
      <c r="K22" s="3">
        <f ca="1">IFERROR(__xludf.DUMMYFUNCTION("""COMPUTED_VALUE"""),0.485416666666666)</f>
        <v>0.485416666666666</v>
      </c>
      <c r="M22" s="3">
        <v>0.42708333333333331</v>
      </c>
      <c r="N22" s="3">
        <v>0.43125000000000002</v>
      </c>
      <c r="O22" s="3">
        <v>0.43819444444444444</v>
      </c>
      <c r="P22" s="3">
        <v>0.44583333333333336</v>
      </c>
      <c r="Q22" s="3">
        <v>0.45277777777777778</v>
      </c>
      <c r="R22" s="3">
        <v>0.4597222222222222</v>
      </c>
      <c r="S22" s="3">
        <v>0.46875</v>
      </c>
      <c r="T22" s="3">
        <v>0.47361111111111109</v>
      </c>
      <c r="U22" s="3">
        <v>0.47916666666666669</v>
      </c>
      <c r="V22" s="3">
        <v>0.48541666666666666</v>
      </c>
      <c r="W22" s="4">
        <f t="shared" si="0"/>
        <v>5.8333333333333348E-2</v>
      </c>
    </row>
    <row r="23" spans="1:23" ht="15.75" customHeight="1" x14ac:dyDescent="0.15">
      <c r="A23" s="2" t="s">
        <v>105</v>
      </c>
      <c r="B23" s="3">
        <f ca="1">IFERROR(__xludf.DUMMYFUNCTION("SPLIT(A23,"" "")"),0.4375)</f>
        <v>0.4375</v>
      </c>
      <c r="C23" s="3">
        <f ca="1">IFERROR(__xludf.DUMMYFUNCTION("""COMPUTED_VALUE"""),0.441666666666666)</f>
        <v>0.44166666666666599</v>
      </c>
      <c r="D23" s="3">
        <f ca="1">IFERROR(__xludf.DUMMYFUNCTION("""COMPUTED_VALUE"""),0.448611111111111)</f>
        <v>0.44861111111111102</v>
      </c>
      <c r="E23" s="3">
        <f ca="1">IFERROR(__xludf.DUMMYFUNCTION("""COMPUTED_VALUE"""),0.45625)</f>
        <v>0.45624999999999999</v>
      </c>
      <c r="F23" s="3">
        <f ca="1">IFERROR(__xludf.DUMMYFUNCTION("""COMPUTED_VALUE"""),0.463194444444444)</f>
        <v>0.46319444444444402</v>
      </c>
      <c r="G23" s="3">
        <f ca="1">IFERROR(__xludf.DUMMYFUNCTION("""COMPUTED_VALUE"""),0.470138888888888)</f>
        <v>0.470138888888888</v>
      </c>
      <c r="H23" s="3">
        <f ca="1">IFERROR(__xludf.DUMMYFUNCTION("""COMPUTED_VALUE"""),0.479166666666666)</f>
        <v>0.47916666666666602</v>
      </c>
      <c r="I23" s="3">
        <f ca="1">IFERROR(__xludf.DUMMYFUNCTION("""COMPUTED_VALUE"""),0.484027777777777)</f>
        <v>0.484027777777777</v>
      </c>
      <c r="J23" s="3">
        <f ca="1">IFERROR(__xludf.DUMMYFUNCTION("""COMPUTED_VALUE"""),0.489583333333333)</f>
        <v>0.48958333333333298</v>
      </c>
      <c r="K23" s="3">
        <f ca="1">IFERROR(__xludf.DUMMYFUNCTION("""COMPUTED_VALUE"""),0.495833333333333)</f>
        <v>0.49583333333333302</v>
      </c>
      <c r="M23" s="3">
        <v>0.4375</v>
      </c>
      <c r="N23" s="3">
        <v>0.44166666666666665</v>
      </c>
      <c r="O23" s="3">
        <v>0.44861111111111113</v>
      </c>
      <c r="P23" s="3">
        <v>0.45624999999999999</v>
      </c>
      <c r="Q23" s="3">
        <v>0.46319444444444446</v>
      </c>
      <c r="R23" s="3">
        <v>0.47013888888888888</v>
      </c>
      <c r="S23" s="3">
        <v>0.47916666666666669</v>
      </c>
      <c r="T23" s="3">
        <v>0.48402777777777778</v>
      </c>
      <c r="U23" s="3">
        <v>0.48958333333333331</v>
      </c>
      <c r="V23" s="3">
        <v>0.49583333333333335</v>
      </c>
      <c r="W23" s="4">
        <f t="shared" si="0"/>
        <v>5.8333333333333348E-2</v>
      </c>
    </row>
    <row r="24" spans="1:23" ht="15.75" customHeight="1" x14ac:dyDescent="0.15">
      <c r="A24" s="2" t="s">
        <v>106</v>
      </c>
      <c r="B24" s="3">
        <f ca="1">IFERROR(__xludf.DUMMYFUNCTION("SPLIT(A24,"" "")"),0.447916666666666)</f>
        <v>0.44791666666666602</v>
      </c>
      <c r="C24" s="3">
        <f ca="1">IFERROR(__xludf.DUMMYFUNCTION("""COMPUTED_VALUE"""),0.452083333333333)</f>
        <v>0.452083333333333</v>
      </c>
      <c r="D24" s="3">
        <f ca="1">IFERROR(__xludf.DUMMYFUNCTION("""COMPUTED_VALUE"""),0.459027777777777)</f>
        <v>0.45902777777777698</v>
      </c>
      <c r="E24" s="3">
        <f ca="1">IFERROR(__xludf.DUMMYFUNCTION("""COMPUTED_VALUE"""),0.466666666666666)</f>
        <v>0.46666666666666601</v>
      </c>
      <c r="F24" s="3">
        <f ca="1">IFERROR(__xludf.DUMMYFUNCTION("""COMPUTED_VALUE"""),0.473611111111111)</f>
        <v>0.47361111111111098</v>
      </c>
      <c r="G24" s="3">
        <f ca="1">IFERROR(__xludf.DUMMYFUNCTION("""COMPUTED_VALUE"""),0.480555555555555)</f>
        <v>0.48055555555555501</v>
      </c>
      <c r="H24" s="3">
        <f ca="1">IFERROR(__xludf.DUMMYFUNCTION("""COMPUTED_VALUE"""),0.489583333333333)</f>
        <v>0.48958333333333298</v>
      </c>
      <c r="I24" s="3">
        <f ca="1">IFERROR(__xludf.DUMMYFUNCTION("""COMPUTED_VALUE"""),0.494444444444444)</f>
        <v>0.49444444444444402</v>
      </c>
      <c r="J24" s="3">
        <f ca="1">IFERROR(__xludf.DUMMYFUNCTION("""COMPUTED_VALUE"""),0.5)</f>
        <v>0.5</v>
      </c>
      <c r="K24" s="3">
        <f ca="1">IFERROR(__xludf.DUMMYFUNCTION("""COMPUTED_VALUE"""),0.50625)</f>
        <v>0.50624999999999998</v>
      </c>
      <c r="M24" s="3">
        <v>0.44791666666666669</v>
      </c>
      <c r="N24" s="3">
        <v>0.45208333333333334</v>
      </c>
      <c r="O24" s="3">
        <v>0.45902777777777776</v>
      </c>
      <c r="P24" s="3">
        <v>0.46666666666666667</v>
      </c>
      <c r="Q24" s="3">
        <v>0.47361111111111109</v>
      </c>
      <c r="R24" s="3">
        <v>0.48055555555555557</v>
      </c>
      <c r="S24" s="3">
        <v>0.48958333333333331</v>
      </c>
      <c r="T24" s="3">
        <v>0.49444444444444446</v>
      </c>
      <c r="U24" s="3">
        <v>0.5</v>
      </c>
      <c r="V24" s="3">
        <v>0.50624999999999998</v>
      </c>
      <c r="W24" s="4">
        <f t="shared" si="0"/>
        <v>5.8333333333333293E-2</v>
      </c>
    </row>
    <row r="25" spans="1:23" ht="15.75" customHeight="1" x14ac:dyDescent="0.15">
      <c r="A25" s="2" t="s">
        <v>107</v>
      </c>
      <c r="B25" s="3">
        <f ca="1">IFERROR(__xludf.DUMMYFUNCTION("SPLIT(A25,"" "")"),0.458333333333333)</f>
        <v>0.45833333333333298</v>
      </c>
      <c r="C25" s="3">
        <f ca="1">IFERROR(__xludf.DUMMYFUNCTION("""COMPUTED_VALUE"""),0.4625)</f>
        <v>0.46250000000000002</v>
      </c>
      <c r="D25" s="3">
        <f ca="1">IFERROR(__xludf.DUMMYFUNCTION("""COMPUTED_VALUE"""),0.469444444444444)</f>
        <v>0.469444444444444</v>
      </c>
      <c r="E25" s="3">
        <f ca="1">IFERROR(__xludf.DUMMYFUNCTION("""COMPUTED_VALUE"""),0.477083333333333)</f>
        <v>0.47708333333333303</v>
      </c>
      <c r="F25" s="3">
        <f ca="1">IFERROR(__xludf.DUMMYFUNCTION("""COMPUTED_VALUE"""),0.484027777777777)</f>
        <v>0.484027777777777</v>
      </c>
      <c r="G25" s="3">
        <f ca="1">IFERROR(__xludf.DUMMYFUNCTION("""COMPUTED_VALUE"""),0.490972222222222)</f>
        <v>0.49097222222222198</v>
      </c>
      <c r="H25" s="3">
        <f ca="1">IFERROR(__xludf.DUMMYFUNCTION("""COMPUTED_VALUE"""),0.5)</f>
        <v>0.5</v>
      </c>
      <c r="I25" s="3">
        <f ca="1">IFERROR(__xludf.DUMMYFUNCTION("""COMPUTED_VALUE"""),0.504861111111111)</f>
        <v>0.50486111111111098</v>
      </c>
      <c r="J25" s="3">
        <f ca="1">IFERROR(__xludf.DUMMYFUNCTION("""COMPUTED_VALUE"""),0.510416666666666)</f>
        <v>0.51041666666666596</v>
      </c>
      <c r="K25" s="3">
        <f ca="1">IFERROR(__xludf.DUMMYFUNCTION("""COMPUTED_VALUE"""),0.516666666666666)</f>
        <v>0.51666666666666605</v>
      </c>
      <c r="M25" s="3">
        <v>0.45833333333333331</v>
      </c>
      <c r="N25" s="3">
        <v>0.46250000000000002</v>
      </c>
      <c r="O25" s="3">
        <v>0.46944444444444444</v>
      </c>
      <c r="P25" s="3">
        <v>0.47708333333333336</v>
      </c>
      <c r="Q25" s="3">
        <v>0.48402777777777778</v>
      </c>
      <c r="R25" s="3">
        <v>0.4909722222222222</v>
      </c>
      <c r="S25" s="3">
        <v>0.5</v>
      </c>
      <c r="T25" s="3">
        <v>0.50486111111111109</v>
      </c>
      <c r="U25" s="3">
        <v>0.51041666666666663</v>
      </c>
      <c r="V25" s="3">
        <v>0.51666666666666672</v>
      </c>
      <c r="W25" s="4">
        <f t="shared" si="0"/>
        <v>5.8333333333333404E-2</v>
      </c>
    </row>
    <row r="26" spans="1:23" ht="15.75" customHeight="1" x14ac:dyDescent="0.15">
      <c r="A26" s="2" t="s">
        <v>108</v>
      </c>
      <c r="B26" s="3">
        <f ca="1">IFERROR(__xludf.DUMMYFUNCTION("SPLIT(A26,"" "")"),0.46875)</f>
        <v>0.46875</v>
      </c>
      <c r="C26" s="3">
        <f ca="1">IFERROR(__xludf.DUMMYFUNCTION("""COMPUTED_VALUE"""),0.472916666666666)</f>
        <v>0.47291666666666599</v>
      </c>
      <c r="D26" s="3">
        <f ca="1">IFERROR(__xludf.DUMMYFUNCTION("""COMPUTED_VALUE"""),0.479861111111111)</f>
        <v>0.47986111111111102</v>
      </c>
      <c r="E26" s="3">
        <f ca="1">IFERROR(__xludf.DUMMYFUNCTION("""COMPUTED_VALUE"""),0.4875)</f>
        <v>0.48749999999999999</v>
      </c>
      <c r="F26" s="3">
        <f ca="1">IFERROR(__xludf.DUMMYFUNCTION("""COMPUTED_VALUE"""),0.494444444444444)</f>
        <v>0.49444444444444402</v>
      </c>
      <c r="G26" s="3">
        <f ca="1">IFERROR(__xludf.DUMMYFUNCTION("""COMPUTED_VALUE"""),0.501388888888888)</f>
        <v>0.501388888888888</v>
      </c>
      <c r="H26" s="3">
        <f ca="1">IFERROR(__xludf.DUMMYFUNCTION("""COMPUTED_VALUE"""),0.510416666666666)</f>
        <v>0.51041666666666596</v>
      </c>
      <c r="I26" s="3">
        <f ca="1">IFERROR(__xludf.DUMMYFUNCTION("""COMPUTED_VALUE"""),0.515277777777777)</f>
        <v>0.51527777777777695</v>
      </c>
      <c r="J26" s="3">
        <f ca="1">IFERROR(__xludf.DUMMYFUNCTION("""COMPUTED_VALUE"""),0.520833333333333)</f>
        <v>0.52083333333333304</v>
      </c>
      <c r="K26" s="3">
        <f ca="1">IFERROR(__xludf.DUMMYFUNCTION("""COMPUTED_VALUE"""),0.527083333333333)</f>
        <v>0.52708333333333302</v>
      </c>
      <c r="M26" s="3">
        <v>0.46875</v>
      </c>
      <c r="N26" s="3">
        <v>0.47291666666666665</v>
      </c>
      <c r="O26" s="3">
        <v>0.47986111111111113</v>
      </c>
      <c r="P26" s="3">
        <v>0.48749999999999999</v>
      </c>
      <c r="Q26" s="3">
        <v>0.49444444444444446</v>
      </c>
      <c r="R26" s="3">
        <v>0.50138888888888888</v>
      </c>
      <c r="S26" s="3">
        <v>0.51041666666666663</v>
      </c>
      <c r="T26" s="3">
        <v>0.51527777777777772</v>
      </c>
      <c r="U26" s="3">
        <v>0.52083333333333337</v>
      </c>
      <c r="V26" s="3">
        <v>0.52708333333333335</v>
      </c>
      <c r="W26" s="4">
        <f t="shared" si="0"/>
        <v>5.8333333333333348E-2</v>
      </c>
    </row>
    <row r="27" spans="1:23" ht="15.75" customHeight="1" x14ac:dyDescent="0.15">
      <c r="A27" s="2" t="s">
        <v>109</v>
      </c>
      <c r="B27" s="3">
        <f ca="1">IFERROR(__xludf.DUMMYFUNCTION("SPLIT(A27,"" "")"),0.479166666666666)</f>
        <v>0.47916666666666602</v>
      </c>
      <c r="C27" s="3">
        <f ca="1">IFERROR(__xludf.DUMMYFUNCTION("""COMPUTED_VALUE"""),0.483333333333333)</f>
        <v>0.483333333333333</v>
      </c>
      <c r="D27" s="3">
        <f ca="1">IFERROR(__xludf.DUMMYFUNCTION("""COMPUTED_VALUE"""),0.490277777777777)</f>
        <v>0.49027777777777698</v>
      </c>
      <c r="E27" s="3">
        <f ca="1">IFERROR(__xludf.DUMMYFUNCTION("""COMPUTED_VALUE"""),0.497916666666666)</f>
        <v>0.49791666666666601</v>
      </c>
      <c r="F27" s="3">
        <f ca="1">IFERROR(__xludf.DUMMYFUNCTION("""COMPUTED_VALUE"""),0.504861111111111)</f>
        <v>0.50486111111111098</v>
      </c>
      <c r="G27" s="3">
        <f ca="1">IFERROR(__xludf.DUMMYFUNCTION("""COMPUTED_VALUE"""),0.511805555555555)</f>
        <v>0.51180555555555496</v>
      </c>
      <c r="H27" s="3">
        <f ca="1">IFERROR(__xludf.DUMMYFUNCTION("""COMPUTED_VALUE"""),0.520833333333333)</f>
        <v>0.52083333333333304</v>
      </c>
      <c r="I27" s="3">
        <f ca="1">IFERROR(__xludf.DUMMYFUNCTION("""COMPUTED_VALUE"""),0.525694444444444)</f>
        <v>0.52569444444444402</v>
      </c>
      <c r="J27" s="3">
        <f ca="1">IFERROR(__xludf.DUMMYFUNCTION("""COMPUTED_VALUE"""),0.53125)</f>
        <v>0.53125</v>
      </c>
      <c r="K27" s="3">
        <f ca="1">IFERROR(__xludf.DUMMYFUNCTION("""COMPUTED_VALUE"""),0.5375)</f>
        <v>0.53749999999999998</v>
      </c>
      <c r="M27" s="3">
        <v>0.47916666666666669</v>
      </c>
      <c r="N27" s="3">
        <v>0.48333333333333334</v>
      </c>
      <c r="O27" s="3">
        <v>0.49027777777777776</v>
      </c>
      <c r="P27" s="3">
        <v>0.49791666666666667</v>
      </c>
      <c r="Q27" s="3">
        <v>0.50486111111111109</v>
      </c>
      <c r="R27" s="3">
        <v>0.51180555555555551</v>
      </c>
      <c r="S27" s="3">
        <v>0.52083333333333337</v>
      </c>
      <c r="T27" s="3">
        <v>0.52569444444444446</v>
      </c>
      <c r="U27" s="3">
        <v>0.53125</v>
      </c>
      <c r="V27" s="3">
        <v>0.53749999999999998</v>
      </c>
      <c r="W27" s="4">
        <f t="shared" si="0"/>
        <v>5.8333333333333293E-2</v>
      </c>
    </row>
    <row r="28" spans="1:23" ht="15.75" customHeight="1" x14ac:dyDescent="0.15">
      <c r="A28" s="2" t="s">
        <v>110</v>
      </c>
      <c r="B28" s="3">
        <f ca="1">IFERROR(__xludf.DUMMYFUNCTION("SPLIT(A28,"" "")"),0.489583333333333)</f>
        <v>0.48958333333333298</v>
      </c>
      <c r="C28" s="3">
        <f ca="1">IFERROR(__xludf.DUMMYFUNCTION("""COMPUTED_VALUE"""),0.49375)</f>
        <v>0.49375000000000002</v>
      </c>
      <c r="D28" s="3">
        <f ca="1">IFERROR(__xludf.DUMMYFUNCTION("""COMPUTED_VALUE"""),0.500694444444444)</f>
        <v>0.500694444444444</v>
      </c>
      <c r="E28" s="3">
        <f ca="1">IFERROR(__xludf.DUMMYFUNCTION("""COMPUTED_VALUE"""),0.508333333333333)</f>
        <v>0.50833333333333297</v>
      </c>
      <c r="F28" s="3">
        <f ca="1">IFERROR(__xludf.DUMMYFUNCTION("""COMPUTED_VALUE"""),0.515277777777777)</f>
        <v>0.51527777777777695</v>
      </c>
      <c r="G28" s="3">
        <f ca="1">IFERROR(__xludf.DUMMYFUNCTION("""COMPUTED_VALUE"""),0.522222222222222)</f>
        <v>0.52222222222222203</v>
      </c>
      <c r="H28" s="3">
        <f ca="1">IFERROR(__xludf.DUMMYFUNCTION("""COMPUTED_VALUE"""),0.53125)</f>
        <v>0.53125</v>
      </c>
      <c r="I28" s="3">
        <f ca="1">IFERROR(__xludf.DUMMYFUNCTION("""COMPUTED_VALUE"""),0.536111111111111)</f>
        <v>0.53611111111111098</v>
      </c>
      <c r="J28" s="3">
        <f ca="1">IFERROR(__xludf.DUMMYFUNCTION("""COMPUTED_VALUE"""),0.0416666666666666)</f>
        <v>4.1666666666666602E-2</v>
      </c>
      <c r="K28" s="3">
        <f ca="1">IFERROR(__xludf.DUMMYFUNCTION("""COMPUTED_VALUE"""),0.0479166666666666)</f>
        <v>4.7916666666666601E-2</v>
      </c>
      <c r="M28" s="3">
        <v>0.48958333333333331</v>
      </c>
      <c r="N28" s="3">
        <v>0.49375000000000002</v>
      </c>
      <c r="O28" s="3">
        <v>0.50069444444444444</v>
      </c>
      <c r="P28" s="3">
        <v>0.5083333333333333</v>
      </c>
      <c r="Q28" s="3">
        <v>0.51527777777777772</v>
      </c>
      <c r="R28" s="3">
        <v>0.52222222222222225</v>
      </c>
      <c r="S28" s="3">
        <v>0.53125</v>
      </c>
      <c r="T28" s="3">
        <v>0.53611111111111109</v>
      </c>
      <c r="U28" s="3">
        <f t="shared" ref="U28:V28" ca="1" si="1">J28+0.5</f>
        <v>0.54166666666666663</v>
      </c>
      <c r="V28" s="3">
        <f t="shared" ca="1" si="1"/>
        <v>0.54791666666666661</v>
      </c>
      <c r="W28" s="4">
        <f t="shared" ca="1" si="0"/>
        <v>5.8333333333333293E-2</v>
      </c>
    </row>
    <row r="29" spans="1:23" ht="15.75" customHeight="1" x14ac:dyDescent="0.15">
      <c r="A29" s="2" t="s">
        <v>111</v>
      </c>
      <c r="B29" s="3">
        <f ca="1">IFERROR(__xludf.DUMMYFUNCTION("SPLIT(A29,"" "")"),0.5)</f>
        <v>0.5</v>
      </c>
      <c r="C29" s="3">
        <f ca="1">IFERROR(__xludf.DUMMYFUNCTION("""COMPUTED_VALUE"""),0.504166666666666)</f>
        <v>0.50416666666666599</v>
      </c>
      <c r="D29" s="3">
        <f ca="1">IFERROR(__xludf.DUMMYFUNCTION("""COMPUTED_VALUE"""),0.511111111111111)</f>
        <v>0.51111111111111096</v>
      </c>
      <c r="E29" s="3">
        <f ca="1">IFERROR(__xludf.DUMMYFUNCTION("""COMPUTED_VALUE"""),0.51875)</f>
        <v>0.51875000000000004</v>
      </c>
      <c r="F29" s="3">
        <f ca="1">IFERROR(__xludf.DUMMYFUNCTION("""COMPUTED_VALUE"""),0.525694444444444)</f>
        <v>0.52569444444444402</v>
      </c>
      <c r="G29" s="3">
        <f ca="1">IFERROR(__xludf.DUMMYFUNCTION("""COMPUTED_VALUE"""),0.532638888888888)</f>
        <v>0.532638888888888</v>
      </c>
      <c r="H29" s="3">
        <f ca="1">IFERROR(__xludf.DUMMYFUNCTION("""COMPUTED_VALUE"""),0.0416666666666666)</f>
        <v>4.1666666666666602E-2</v>
      </c>
      <c r="I29" s="3">
        <f ca="1">IFERROR(__xludf.DUMMYFUNCTION("""COMPUTED_VALUE"""),0.0465277777777777)</f>
        <v>4.6527777777777703E-2</v>
      </c>
      <c r="J29" s="3">
        <f ca="1">IFERROR(__xludf.DUMMYFUNCTION("""COMPUTED_VALUE"""),0.0520833333333333)</f>
        <v>5.2083333333333301E-2</v>
      </c>
      <c r="K29" s="3">
        <f ca="1">IFERROR(__xludf.DUMMYFUNCTION("""COMPUTED_VALUE"""),0.0583333333333333)</f>
        <v>5.83333333333333E-2</v>
      </c>
      <c r="M29" s="3">
        <v>0.5</v>
      </c>
      <c r="N29" s="3">
        <v>0.50416666666666665</v>
      </c>
      <c r="O29" s="3">
        <v>0.51111111111111107</v>
      </c>
      <c r="P29" s="3">
        <v>0.51875000000000004</v>
      </c>
      <c r="Q29" s="3">
        <v>0.52569444444444446</v>
      </c>
      <c r="R29" s="3">
        <v>0.53263888888888888</v>
      </c>
      <c r="S29" s="3">
        <f t="shared" ref="S29:V29" ca="1" si="2">H29+0.5</f>
        <v>0.54166666666666663</v>
      </c>
      <c r="T29" s="3">
        <f t="shared" ca="1" si="2"/>
        <v>0.54652777777777772</v>
      </c>
      <c r="U29" s="3">
        <f t="shared" ca="1" si="2"/>
        <v>0.55208333333333326</v>
      </c>
      <c r="V29" s="3">
        <f t="shared" ca="1" si="2"/>
        <v>0.55833333333333335</v>
      </c>
      <c r="W29" s="4">
        <f t="shared" ca="1" si="0"/>
        <v>5.8333333333333348E-2</v>
      </c>
    </row>
    <row r="30" spans="1:23" ht="15.75" customHeight="1" x14ac:dyDescent="0.15">
      <c r="A30" s="2" t="s">
        <v>112</v>
      </c>
      <c r="B30" s="3">
        <f ca="1">IFERROR(__xludf.DUMMYFUNCTION("SPLIT(A30,"" "")"),0.510416666666666)</f>
        <v>0.51041666666666596</v>
      </c>
      <c r="C30" s="3">
        <f ca="1">IFERROR(__xludf.DUMMYFUNCTION("""COMPUTED_VALUE"""),0.514583333333333)</f>
        <v>0.51458333333333295</v>
      </c>
      <c r="D30" s="3">
        <f ca="1">IFERROR(__xludf.DUMMYFUNCTION("""COMPUTED_VALUE"""),0.521527777777777)</f>
        <v>0.52152777777777704</v>
      </c>
      <c r="E30" s="3">
        <f ca="1">IFERROR(__xludf.DUMMYFUNCTION("""COMPUTED_VALUE"""),0.529166666666666)</f>
        <v>0.52916666666666601</v>
      </c>
      <c r="F30" s="3">
        <f ca="1">IFERROR(__xludf.DUMMYFUNCTION("""COMPUTED_VALUE"""),0.536111111111111)</f>
        <v>0.53611111111111098</v>
      </c>
      <c r="G30" s="3">
        <f ca="1">IFERROR(__xludf.DUMMYFUNCTION("""COMPUTED_VALUE"""),0.0430555555555555)</f>
        <v>4.30555555555555E-2</v>
      </c>
      <c r="H30" s="3">
        <f ca="1">IFERROR(__xludf.DUMMYFUNCTION("""COMPUTED_VALUE"""),0.0520833333333333)</f>
        <v>5.2083333333333301E-2</v>
      </c>
      <c r="I30" s="3">
        <f ca="1">IFERROR(__xludf.DUMMYFUNCTION("""COMPUTED_VALUE"""),0.0569444444444444)</f>
        <v>5.6944444444444402E-2</v>
      </c>
      <c r="J30" s="3">
        <f ca="1">IFERROR(__xludf.DUMMYFUNCTION("""COMPUTED_VALUE"""),0.0625)</f>
        <v>6.25E-2</v>
      </c>
      <c r="K30" s="3">
        <f ca="1">IFERROR(__xludf.DUMMYFUNCTION("""COMPUTED_VALUE"""),0.06875)</f>
        <v>6.8750000000000006E-2</v>
      </c>
      <c r="M30" s="3">
        <v>0.51041666666666663</v>
      </c>
      <c r="N30" s="3">
        <v>0.51458333333333328</v>
      </c>
      <c r="O30" s="3">
        <v>0.52152777777777781</v>
      </c>
      <c r="P30" s="3">
        <v>0.52916666666666667</v>
      </c>
      <c r="Q30" s="3">
        <v>0.53611111111111109</v>
      </c>
      <c r="R30" s="3">
        <f t="shared" ref="R30:V30" ca="1" si="3">G30+0.5</f>
        <v>0.54305555555555551</v>
      </c>
      <c r="S30" s="3">
        <f t="shared" ca="1" si="3"/>
        <v>0.55208333333333326</v>
      </c>
      <c r="T30" s="3">
        <f t="shared" ca="1" si="3"/>
        <v>0.55694444444444435</v>
      </c>
      <c r="U30" s="3">
        <f t="shared" ca="1" si="3"/>
        <v>0.5625</v>
      </c>
      <c r="V30" s="3">
        <f t="shared" ca="1" si="3"/>
        <v>0.56874999999999998</v>
      </c>
      <c r="W30" s="4">
        <f t="shared" ca="1" si="0"/>
        <v>5.8333333333333348E-2</v>
      </c>
    </row>
    <row r="31" spans="1:23" ht="15.75" customHeight="1" x14ac:dyDescent="0.15">
      <c r="A31" s="2" t="s">
        <v>113</v>
      </c>
      <c r="B31" s="3">
        <f ca="1">IFERROR(__xludf.DUMMYFUNCTION("SPLIT(A31,"" "")"),0.520833333333333)</f>
        <v>0.52083333333333304</v>
      </c>
      <c r="C31" s="3">
        <f ca="1">IFERROR(__xludf.DUMMYFUNCTION("""COMPUTED_VALUE"""),0.525)</f>
        <v>0.52500000000000002</v>
      </c>
      <c r="D31" s="3">
        <f ca="1">IFERROR(__xludf.DUMMYFUNCTION("""COMPUTED_VALUE"""),0.531944444444444)</f>
        <v>0.531944444444444</v>
      </c>
      <c r="E31" s="3">
        <f ca="1">IFERROR(__xludf.DUMMYFUNCTION("""COMPUTED_VALUE"""),0.539583333333333)</f>
        <v>0.53958333333333297</v>
      </c>
      <c r="F31" s="3">
        <f ca="1">IFERROR(__xludf.DUMMYFUNCTION("""COMPUTED_VALUE"""),0.0465277777777777)</f>
        <v>4.6527777777777703E-2</v>
      </c>
      <c r="G31" s="3">
        <f ca="1">IFERROR(__xludf.DUMMYFUNCTION("""COMPUTED_VALUE"""),0.0534722222222222)</f>
        <v>5.3472222222222199E-2</v>
      </c>
      <c r="H31" s="3">
        <f ca="1">IFERROR(__xludf.DUMMYFUNCTION("""COMPUTED_VALUE"""),0.0625)</f>
        <v>6.25E-2</v>
      </c>
      <c r="I31" s="3">
        <f ca="1">IFERROR(__xludf.DUMMYFUNCTION("""COMPUTED_VALUE"""),0.0673611111111111)</f>
        <v>6.7361111111111094E-2</v>
      </c>
      <c r="J31" s="3">
        <f ca="1">IFERROR(__xludf.DUMMYFUNCTION("""COMPUTED_VALUE"""),0.0729166666666666)</f>
        <v>7.2916666666666602E-2</v>
      </c>
      <c r="K31" s="3">
        <f ca="1">IFERROR(__xludf.DUMMYFUNCTION("""COMPUTED_VALUE"""),0.0791666666666666)</f>
        <v>7.9166666666666594E-2</v>
      </c>
      <c r="M31" s="3">
        <v>0.52083333333333337</v>
      </c>
      <c r="N31" s="3">
        <v>0.52500000000000002</v>
      </c>
      <c r="O31" s="3">
        <v>0.53194444444444444</v>
      </c>
      <c r="P31" s="3">
        <v>0.5395833333333333</v>
      </c>
      <c r="Q31" s="3">
        <f t="shared" ref="Q31:V31" ca="1" si="4">F31+0.5</f>
        <v>0.54652777777777772</v>
      </c>
      <c r="R31" s="3">
        <f t="shared" ca="1" si="4"/>
        <v>0.55347222222222214</v>
      </c>
      <c r="S31" s="3">
        <f t="shared" ca="1" si="4"/>
        <v>0.5625</v>
      </c>
      <c r="T31" s="3">
        <f t="shared" ca="1" si="4"/>
        <v>0.56736111111111109</v>
      </c>
      <c r="U31" s="3">
        <f t="shared" ca="1" si="4"/>
        <v>0.57291666666666663</v>
      </c>
      <c r="V31" s="3">
        <f t="shared" ca="1" si="4"/>
        <v>0.57916666666666661</v>
      </c>
      <c r="W31" s="4">
        <f t="shared" ca="1" si="0"/>
        <v>5.8333333333333237E-2</v>
      </c>
    </row>
    <row r="32" spans="1:23" ht="15.75" customHeight="1" x14ac:dyDescent="0.15">
      <c r="A32" s="2" t="s">
        <v>114</v>
      </c>
      <c r="B32" s="3">
        <f ca="1">IFERROR(__xludf.DUMMYFUNCTION("SPLIT(A32,"" "")"),0.53125)</f>
        <v>0.53125</v>
      </c>
      <c r="C32" s="3">
        <f ca="1">IFERROR(__xludf.DUMMYFUNCTION("""COMPUTED_VALUE"""),0.535416666666666)</f>
        <v>0.53541666666666599</v>
      </c>
      <c r="D32" s="3">
        <f ca="1">IFERROR(__xludf.DUMMYFUNCTION("""COMPUTED_VALUE"""),0.0423611111111111)</f>
        <v>4.2361111111111099E-2</v>
      </c>
      <c r="E32" s="3">
        <f ca="1">IFERROR(__xludf.DUMMYFUNCTION("""COMPUTED_VALUE"""),0.05)</f>
        <v>0.05</v>
      </c>
      <c r="F32" s="3">
        <f ca="1">IFERROR(__xludf.DUMMYFUNCTION("""COMPUTED_VALUE"""),0.0569444444444444)</f>
        <v>5.6944444444444402E-2</v>
      </c>
      <c r="G32" s="3">
        <f ca="1">IFERROR(__xludf.DUMMYFUNCTION("""COMPUTED_VALUE"""),0.0638888888888888)</f>
        <v>6.3888888888888801E-2</v>
      </c>
      <c r="H32" s="3">
        <f ca="1">IFERROR(__xludf.DUMMYFUNCTION("""COMPUTED_VALUE"""),0.0729166666666666)</f>
        <v>7.2916666666666602E-2</v>
      </c>
      <c r="I32" s="3">
        <f ca="1">IFERROR(__xludf.DUMMYFUNCTION("""COMPUTED_VALUE"""),0.0777777777777777)</f>
        <v>7.7777777777777696E-2</v>
      </c>
      <c r="J32" s="3">
        <f ca="1">IFERROR(__xludf.DUMMYFUNCTION("""COMPUTED_VALUE"""),0.0833333333333333)</f>
        <v>8.3333333333333301E-2</v>
      </c>
      <c r="K32" s="3">
        <f ca="1">IFERROR(__xludf.DUMMYFUNCTION("""COMPUTED_VALUE"""),0.0895833333333333)</f>
        <v>8.9583333333333307E-2</v>
      </c>
      <c r="M32" s="3">
        <v>0.53125</v>
      </c>
      <c r="N32" s="3">
        <v>0.53541666666666665</v>
      </c>
      <c r="O32" s="3">
        <f t="shared" ref="O32:V32" ca="1" si="5">D32+0.5</f>
        <v>0.54236111111111107</v>
      </c>
      <c r="P32" s="3">
        <f t="shared" ca="1" si="5"/>
        <v>0.55000000000000004</v>
      </c>
      <c r="Q32" s="3">
        <f t="shared" ca="1" si="5"/>
        <v>0.55694444444444435</v>
      </c>
      <c r="R32" s="3">
        <f t="shared" ca="1" si="5"/>
        <v>0.56388888888888877</v>
      </c>
      <c r="S32" s="3">
        <f t="shared" ca="1" si="5"/>
        <v>0.57291666666666663</v>
      </c>
      <c r="T32" s="3">
        <f t="shared" ca="1" si="5"/>
        <v>0.57777777777777772</v>
      </c>
      <c r="U32" s="3">
        <f t="shared" ca="1" si="5"/>
        <v>0.58333333333333326</v>
      </c>
      <c r="V32" s="3">
        <f t="shared" ca="1" si="5"/>
        <v>0.58958333333333335</v>
      </c>
      <c r="W32" s="4">
        <f t="shared" ca="1" si="0"/>
        <v>5.8333333333333348E-2</v>
      </c>
    </row>
    <row r="33" spans="1:23" ht="15.75" customHeight="1" x14ac:dyDescent="0.15">
      <c r="A33" s="2" t="s">
        <v>115</v>
      </c>
      <c r="B33" s="3">
        <f ca="1">IFERROR(__xludf.DUMMYFUNCTION("SPLIT(A33,"" "")"),0.0416666666666666)</f>
        <v>4.1666666666666602E-2</v>
      </c>
      <c r="C33" s="3">
        <f ca="1">IFERROR(__xludf.DUMMYFUNCTION("""COMPUTED_VALUE"""),0.0458333333333333)</f>
        <v>4.5833333333333302E-2</v>
      </c>
      <c r="D33" s="3">
        <f ca="1">IFERROR(__xludf.DUMMYFUNCTION("""COMPUTED_VALUE"""),0.0527777777777777)</f>
        <v>5.2777777777777701E-2</v>
      </c>
      <c r="E33" s="3">
        <f ca="1">IFERROR(__xludf.DUMMYFUNCTION("""COMPUTED_VALUE"""),0.0604166666666666)</f>
        <v>6.0416666666666598E-2</v>
      </c>
      <c r="F33" s="3">
        <f ca="1">IFERROR(__xludf.DUMMYFUNCTION("""COMPUTED_VALUE"""),0.0673611111111111)</f>
        <v>6.7361111111111094E-2</v>
      </c>
      <c r="G33" s="3">
        <f ca="1">IFERROR(__xludf.DUMMYFUNCTION("""COMPUTED_VALUE"""),0.0743055555555555)</f>
        <v>7.43055555555555E-2</v>
      </c>
      <c r="H33" s="3">
        <f ca="1">IFERROR(__xludf.DUMMYFUNCTION("""COMPUTED_VALUE"""),0.0833333333333333)</f>
        <v>8.3333333333333301E-2</v>
      </c>
      <c r="I33" s="3">
        <f ca="1">IFERROR(__xludf.DUMMYFUNCTION("""COMPUTED_VALUE"""),0.0881944444444444)</f>
        <v>8.8194444444444395E-2</v>
      </c>
      <c r="J33" s="3">
        <f ca="1">IFERROR(__xludf.DUMMYFUNCTION("""COMPUTED_VALUE"""),0.09375)</f>
        <v>9.375E-2</v>
      </c>
      <c r="K33" s="3">
        <f ca="1">IFERROR(__xludf.DUMMYFUNCTION("""COMPUTED_VALUE"""),0.1)</f>
        <v>0.1</v>
      </c>
      <c r="M33" s="3">
        <f t="shared" ref="M33:V33" ca="1" si="6">B33+0.5</f>
        <v>0.54166666666666663</v>
      </c>
      <c r="N33" s="3">
        <f t="shared" ca="1" si="6"/>
        <v>0.54583333333333328</v>
      </c>
      <c r="O33" s="3">
        <f t="shared" ca="1" si="6"/>
        <v>0.5527777777777777</v>
      </c>
      <c r="P33" s="3">
        <f t="shared" ca="1" si="6"/>
        <v>0.56041666666666656</v>
      </c>
      <c r="Q33" s="3">
        <f t="shared" ca="1" si="6"/>
        <v>0.56736111111111109</v>
      </c>
      <c r="R33" s="3">
        <f t="shared" ca="1" si="6"/>
        <v>0.57430555555555551</v>
      </c>
      <c r="S33" s="3">
        <f t="shared" ca="1" si="6"/>
        <v>0.58333333333333326</v>
      </c>
      <c r="T33" s="3">
        <f t="shared" ca="1" si="6"/>
        <v>0.58819444444444435</v>
      </c>
      <c r="U33" s="3">
        <f t="shared" ca="1" si="6"/>
        <v>0.59375</v>
      </c>
      <c r="V33" s="3">
        <f t="shared" ca="1" si="6"/>
        <v>0.6</v>
      </c>
      <c r="W33" s="4">
        <f t="shared" ca="1" si="0"/>
        <v>5.8333333333333348E-2</v>
      </c>
    </row>
    <row r="34" spans="1:23" ht="15.75" customHeight="1" x14ac:dyDescent="0.15">
      <c r="A34" s="2" t="s">
        <v>116</v>
      </c>
      <c r="B34" s="3">
        <f ca="1">IFERROR(__xludf.DUMMYFUNCTION("SPLIT(A34,"" "")"),0.0520833333333333)</f>
        <v>5.2083333333333301E-2</v>
      </c>
      <c r="C34" s="3">
        <f ca="1">IFERROR(__xludf.DUMMYFUNCTION("""COMPUTED_VALUE"""),0.05625)</f>
        <v>5.6250000000000001E-2</v>
      </c>
      <c r="D34" s="3">
        <f ca="1">IFERROR(__xludf.DUMMYFUNCTION("""COMPUTED_VALUE"""),0.0631944444444444)</f>
        <v>6.31944444444444E-2</v>
      </c>
      <c r="E34" s="3">
        <f ca="1">IFERROR(__xludf.DUMMYFUNCTION("""COMPUTED_VALUE"""),0.0708333333333333)</f>
        <v>7.0833333333333304E-2</v>
      </c>
      <c r="F34" s="3">
        <f ca="1">IFERROR(__xludf.DUMMYFUNCTION("""COMPUTED_VALUE"""),0.0777777777777777)</f>
        <v>7.7777777777777696E-2</v>
      </c>
      <c r="G34" s="3">
        <f ca="1">IFERROR(__xludf.DUMMYFUNCTION("""COMPUTED_VALUE"""),0.0847222222222222)</f>
        <v>8.4722222222222199E-2</v>
      </c>
      <c r="H34" s="3">
        <f ca="1">IFERROR(__xludf.DUMMYFUNCTION("""COMPUTED_VALUE"""),0.09375)</f>
        <v>9.375E-2</v>
      </c>
      <c r="I34" s="3">
        <f ca="1">IFERROR(__xludf.DUMMYFUNCTION("""COMPUTED_VALUE"""),0.0986111111111111)</f>
        <v>9.8611111111111094E-2</v>
      </c>
      <c r="J34" s="3">
        <f ca="1">IFERROR(__xludf.DUMMYFUNCTION("""COMPUTED_VALUE"""),0.104166666666666)</f>
        <v>0.10416666666666601</v>
      </c>
      <c r="K34" s="3">
        <f ca="1">IFERROR(__xludf.DUMMYFUNCTION("""COMPUTED_VALUE"""),0.110416666666666)</f>
        <v>0.110416666666666</v>
      </c>
      <c r="M34" s="3">
        <f t="shared" ref="M34:V34" ca="1" si="7">B34+0.5</f>
        <v>0.55208333333333326</v>
      </c>
      <c r="N34" s="3">
        <f t="shared" ca="1" si="7"/>
        <v>0.55625000000000002</v>
      </c>
      <c r="O34" s="3">
        <f t="shared" ca="1" si="7"/>
        <v>0.56319444444444444</v>
      </c>
      <c r="P34" s="3">
        <f t="shared" ca="1" si="7"/>
        <v>0.5708333333333333</v>
      </c>
      <c r="Q34" s="3">
        <f t="shared" ca="1" si="7"/>
        <v>0.57777777777777772</v>
      </c>
      <c r="R34" s="3">
        <f t="shared" ca="1" si="7"/>
        <v>0.58472222222222214</v>
      </c>
      <c r="S34" s="3">
        <f t="shared" ca="1" si="7"/>
        <v>0.59375</v>
      </c>
      <c r="T34" s="3">
        <f t="shared" ca="1" si="7"/>
        <v>0.59861111111111109</v>
      </c>
      <c r="U34" s="3">
        <f t="shared" ca="1" si="7"/>
        <v>0.60416666666666596</v>
      </c>
      <c r="V34" s="3">
        <f t="shared" ca="1" si="7"/>
        <v>0.61041666666666594</v>
      </c>
      <c r="W34" s="4">
        <f t="shared" ca="1" si="0"/>
        <v>5.8333333333332682E-2</v>
      </c>
    </row>
    <row r="35" spans="1:23" ht="15.75" customHeight="1" x14ac:dyDescent="0.15">
      <c r="A35" s="2" t="s">
        <v>117</v>
      </c>
      <c r="B35" s="3">
        <f ca="1">IFERROR(__xludf.DUMMYFUNCTION("SPLIT(A35,"" "")"),0.0625)</f>
        <v>6.25E-2</v>
      </c>
      <c r="C35" s="3">
        <f ca="1">IFERROR(__xludf.DUMMYFUNCTION("""COMPUTED_VALUE"""),0.0666666666666666)</f>
        <v>6.6666666666666596E-2</v>
      </c>
      <c r="D35" s="3">
        <f ca="1">IFERROR(__xludf.DUMMYFUNCTION("""COMPUTED_VALUE"""),0.0736111111111111)</f>
        <v>7.3611111111111099E-2</v>
      </c>
      <c r="E35" s="3">
        <f ca="1">IFERROR(__xludf.DUMMYFUNCTION("""COMPUTED_VALUE"""),0.08125)</f>
        <v>8.1250000000000003E-2</v>
      </c>
      <c r="F35" s="3">
        <f ca="1">IFERROR(__xludf.DUMMYFUNCTION("""COMPUTED_VALUE"""),0.0881944444444444)</f>
        <v>8.8194444444444395E-2</v>
      </c>
      <c r="G35" s="3">
        <f ca="1">IFERROR(__xludf.DUMMYFUNCTION("""COMPUTED_VALUE"""),0.0951388888888888)</f>
        <v>9.5138888888888801E-2</v>
      </c>
      <c r="H35" s="3">
        <f ca="1">IFERROR(__xludf.DUMMYFUNCTION("""COMPUTED_VALUE"""),0.104166666666666)</f>
        <v>0.10416666666666601</v>
      </c>
      <c r="I35" s="3">
        <f ca="1">IFERROR(__xludf.DUMMYFUNCTION("""COMPUTED_VALUE"""),0.109027777777777)</f>
        <v>0.109027777777777</v>
      </c>
      <c r="J35" s="3">
        <f ca="1">IFERROR(__xludf.DUMMYFUNCTION("""COMPUTED_VALUE"""),0.114583333333333)</f>
        <v>0.114583333333333</v>
      </c>
      <c r="K35" s="3">
        <f ca="1">IFERROR(__xludf.DUMMYFUNCTION("""COMPUTED_VALUE"""),0.120833333333333)</f>
        <v>0.120833333333333</v>
      </c>
      <c r="M35" s="3">
        <f t="shared" ref="M35:V35" ca="1" si="8">B35+0.5</f>
        <v>0.5625</v>
      </c>
      <c r="N35" s="3">
        <f t="shared" ca="1" si="8"/>
        <v>0.56666666666666665</v>
      </c>
      <c r="O35" s="3">
        <f t="shared" ca="1" si="8"/>
        <v>0.57361111111111107</v>
      </c>
      <c r="P35" s="3">
        <f t="shared" ca="1" si="8"/>
        <v>0.58125000000000004</v>
      </c>
      <c r="Q35" s="3">
        <f t="shared" ca="1" si="8"/>
        <v>0.58819444444444435</v>
      </c>
      <c r="R35" s="3">
        <f t="shared" ca="1" si="8"/>
        <v>0.59513888888888877</v>
      </c>
      <c r="S35" s="3">
        <f t="shared" ca="1" si="8"/>
        <v>0.60416666666666596</v>
      </c>
      <c r="T35" s="3">
        <f t="shared" ca="1" si="8"/>
        <v>0.60902777777777706</v>
      </c>
      <c r="U35" s="3">
        <f t="shared" ca="1" si="8"/>
        <v>0.61458333333333304</v>
      </c>
      <c r="V35" s="3">
        <f t="shared" ca="1" si="8"/>
        <v>0.62083333333333302</v>
      </c>
      <c r="W35" s="4">
        <f t="shared" ca="1" si="0"/>
        <v>5.8333333333333015E-2</v>
      </c>
    </row>
    <row r="36" spans="1:23" ht="15.75" customHeight="1" x14ac:dyDescent="0.15">
      <c r="A36" s="2" t="s">
        <v>118</v>
      </c>
      <c r="B36" s="3">
        <f ca="1">IFERROR(__xludf.DUMMYFUNCTION("SPLIT(A36,"" "")"),0.0729166666666666)</f>
        <v>7.2916666666666602E-2</v>
      </c>
      <c r="C36" s="3">
        <f ca="1">IFERROR(__xludf.DUMMYFUNCTION("""COMPUTED_VALUE"""),0.0770833333333333)</f>
        <v>7.7083333333333295E-2</v>
      </c>
      <c r="D36" s="3">
        <f ca="1">IFERROR(__xludf.DUMMYFUNCTION("""COMPUTED_VALUE"""),0.0840277777777777)</f>
        <v>8.4027777777777701E-2</v>
      </c>
      <c r="E36" s="3">
        <f ca="1">IFERROR(__xludf.DUMMYFUNCTION("""COMPUTED_VALUE"""),0.0916666666666666)</f>
        <v>9.1666666666666605E-2</v>
      </c>
      <c r="F36" s="3">
        <f ca="1">IFERROR(__xludf.DUMMYFUNCTION("""COMPUTED_VALUE"""),0.0986111111111111)</f>
        <v>9.8611111111111094E-2</v>
      </c>
      <c r="G36" s="3">
        <f ca="1">IFERROR(__xludf.DUMMYFUNCTION("""COMPUTED_VALUE"""),0.105555555555555)</f>
        <v>0.105555555555555</v>
      </c>
      <c r="H36" s="3">
        <f ca="1">IFERROR(__xludf.DUMMYFUNCTION("""COMPUTED_VALUE"""),0.114583333333333)</f>
        <v>0.114583333333333</v>
      </c>
      <c r="I36" s="3">
        <f ca="1">IFERROR(__xludf.DUMMYFUNCTION("""COMPUTED_VALUE"""),0.119444444444444)</f>
        <v>0.11944444444444401</v>
      </c>
      <c r="J36" s="3">
        <f ca="1">IFERROR(__xludf.DUMMYFUNCTION("""COMPUTED_VALUE"""),0.125)</f>
        <v>0.125</v>
      </c>
      <c r="K36" s="3">
        <f ca="1">IFERROR(__xludf.DUMMYFUNCTION("""COMPUTED_VALUE"""),0.13125)</f>
        <v>0.13125000000000001</v>
      </c>
      <c r="M36" s="3">
        <f t="shared" ref="M36:V36" ca="1" si="9">B36+0.5</f>
        <v>0.57291666666666663</v>
      </c>
      <c r="N36" s="3">
        <f t="shared" ca="1" si="9"/>
        <v>0.57708333333333328</v>
      </c>
      <c r="O36" s="3">
        <f t="shared" ca="1" si="9"/>
        <v>0.5840277777777777</v>
      </c>
      <c r="P36" s="3">
        <f t="shared" ca="1" si="9"/>
        <v>0.59166666666666656</v>
      </c>
      <c r="Q36" s="3">
        <f t="shared" ca="1" si="9"/>
        <v>0.59861111111111109</v>
      </c>
      <c r="R36" s="3">
        <f t="shared" ca="1" si="9"/>
        <v>0.60555555555555496</v>
      </c>
      <c r="S36" s="3">
        <f t="shared" ca="1" si="9"/>
        <v>0.61458333333333304</v>
      </c>
      <c r="T36" s="3">
        <f t="shared" ca="1" si="9"/>
        <v>0.61944444444444402</v>
      </c>
      <c r="U36" s="3">
        <f t="shared" ca="1" si="9"/>
        <v>0.625</v>
      </c>
      <c r="V36" s="3">
        <f t="shared" ca="1" si="9"/>
        <v>0.63124999999999998</v>
      </c>
      <c r="W36" s="4">
        <f t="shared" ca="1" si="0"/>
        <v>5.8333333333333348E-2</v>
      </c>
    </row>
    <row r="37" spans="1:23" ht="15.75" customHeight="1" x14ac:dyDescent="0.15">
      <c r="A37" s="2" t="s">
        <v>119</v>
      </c>
      <c r="B37" s="3">
        <f ca="1">IFERROR(__xludf.DUMMYFUNCTION("SPLIT(A37,"" "")"),0.0833333333333333)</f>
        <v>8.3333333333333301E-2</v>
      </c>
      <c r="C37" s="3">
        <f ca="1">IFERROR(__xludf.DUMMYFUNCTION("""COMPUTED_VALUE"""),0.0875)</f>
        <v>8.7499999999999994E-2</v>
      </c>
      <c r="D37" s="3">
        <f ca="1">IFERROR(__xludf.DUMMYFUNCTION("""COMPUTED_VALUE"""),0.0944444444444444)</f>
        <v>9.44444444444444E-2</v>
      </c>
      <c r="E37" s="3">
        <f ca="1">IFERROR(__xludf.DUMMYFUNCTION("""COMPUTED_VALUE"""),0.102083333333333)</f>
        <v>0.102083333333333</v>
      </c>
      <c r="F37" s="3">
        <f ca="1">IFERROR(__xludf.DUMMYFUNCTION("""COMPUTED_VALUE"""),0.109027777777777)</f>
        <v>0.109027777777777</v>
      </c>
      <c r="G37" s="3">
        <f ca="1">IFERROR(__xludf.DUMMYFUNCTION("""COMPUTED_VALUE"""),0.115972222222222)</f>
        <v>0.115972222222222</v>
      </c>
      <c r="H37" s="3">
        <f ca="1">IFERROR(__xludf.DUMMYFUNCTION("""COMPUTED_VALUE"""),0.125)</f>
        <v>0.125</v>
      </c>
      <c r="I37" s="3">
        <f ca="1">IFERROR(__xludf.DUMMYFUNCTION("""COMPUTED_VALUE"""),0.129861111111111)</f>
        <v>0.12986111111111101</v>
      </c>
      <c r="J37" s="3">
        <f ca="1">IFERROR(__xludf.DUMMYFUNCTION("""COMPUTED_VALUE"""),0.135416666666666)</f>
        <v>0.13541666666666599</v>
      </c>
      <c r="K37" s="3">
        <f ca="1">IFERROR(__xludf.DUMMYFUNCTION("""COMPUTED_VALUE"""),0.141666666666666)</f>
        <v>0.141666666666666</v>
      </c>
      <c r="M37" s="3">
        <f t="shared" ref="M37:V37" ca="1" si="10">B37+0.5</f>
        <v>0.58333333333333326</v>
      </c>
      <c r="N37" s="3">
        <f t="shared" ca="1" si="10"/>
        <v>0.58750000000000002</v>
      </c>
      <c r="O37" s="3">
        <f t="shared" ca="1" si="10"/>
        <v>0.59444444444444444</v>
      </c>
      <c r="P37" s="3">
        <f t="shared" ca="1" si="10"/>
        <v>0.60208333333333297</v>
      </c>
      <c r="Q37" s="3">
        <f t="shared" ca="1" si="10"/>
        <v>0.60902777777777706</v>
      </c>
      <c r="R37" s="3">
        <f t="shared" ca="1" si="10"/>
        <v>0.61597222222222203</v>
      </c>
      <c r="S37" s="3">
        <f t="shared" ca="1" si="10"/>
        <v>0.625</v>
      </c>
      <c r="T37" s="3">
        <f t="shared" ca="1" si="10"/>
        <v>0.62986111111111098</v>
      </c>
      <c r="U37" s="3">
        <f t="shared" ca="1" si="10"/>
        <v>0.63541666666666596</v>
      </c>
      <c r="V37" s="3">
        <f t="shared" ca="1" si="10"/>
        <v>0.64166666666666594</v>
      </c>
      <c r="W37" s="4">
        <f t="shared" ca="1" si="0"/>
        <v>5.8333333333332682E-2</v>
      </c>
    </row>
    <row r="38" spans="1:23" ht="15.75" customHeight="1" x14ac:dyDescent="0.15">
      <c r="A38" s="2" t="s">
        <v>120</v>
      </c>
      <c r="B38" s="3">
        <f ca="1">IFERROR(__xludf.DUMMYFUNCTION("SPLIT(A38,"" "")"),0.09375)</f>
        <v>9.375E-2</v>
      </c>
      <c r="C38" s="3">
        <f ca="1">IFERROR(__xludf.DUMMYFUNCTION("""COMPUTED_VALUE"""),0.0979166666666666)</f>
        <v>9.7916666666666596E-2</v>
      </c>
      <c r="D38" s="3">
        <f ca="1">IFERROR(__xludf.DUMMYFUNCTION("""COMPUTED_VALUE"""),0.104861111111111)</f>
        <v>0.104861111111111</v>
      </c>
      <c r="E38" s="3">
        <f ca="1">IFERROR(__xludf.DUMMYFUNCTION("""COMPUTED_VALUE"""),0.1125)</f>
        <v>0.1125</v>
      </c>
      <c r="F38" s="3">
        <f ca="1">IFERROR(__xludf.DUMMYFUNCTION("""COMPUTED_VALUE"""),0.119444444444444)</f>
        <v>0.11944444444444401</v>
      </c>
      <c r="G38" s="3">
        <f ca="1">IFERROR(__xludf.DUMMYFUNCTION("""COMPUTED_VALUE"""),0.126388888888888)</f>
        <v>0.126388888888888</v>
      </c>
      <c r="H38" s="3">
        <f ca="1">IFERROR(__xludf.DUMMYFUNCTION("""COMPUTED_VALUE"""),0.135416666666666)</f>
        <v>0.13541666666666599</v>
      </c>
      <c r="I38" s="3">
        <f ca="1">IFERROR(__xludf.DUMMYFUNCTION("""COMPUTED_VALUE"""),0.140277777777777)</f>
        <v>0.140277777777777</v>
      </c>
      <c r="J38" s="3">
        <f ca="1">IFERROR(__xludf.DUMMYFUNCTION("""COMPUTED_VALUE"""),0.145833333333333)</f>
        <v>0.14583333333333301</v>
      </c>
      <c r="K38" s="3">
        <f ca="1">IFERROR(__xludf.DUMMYFUNCTION("""COMPUTED_VALUE"""),0.152083333333333)</f>
        <v>0.15208333333333299</v>
      </c>
      <c r="M38" s="3">
        <f t="shared" ref="M38:V38" ca="1" si="11">B38+0.5</f>
        <v>0.59375</v>
      </c>
      <c r="N38" s="3">
        <f t="shared" ca="1" si="11"/>
        <v>0.59791666666666665</v>
      </c>
      <c r="O38" s="3">
        <f t="shared" ca="1" si="11"/>
        <v>0.60486111111111096</v>
      </c>
      <c r="P38" s="3">
        <f t="shared" ca="1" si="11"/>
        <v>0.61250000000000004</v>
      </c>
      <c r="Q38" s="3">
        <f t="shared" ca="1" si="11"/>
        <v>0.61944444444444402</v>
      </c>
      <c r="R38" s="3">
        <f t="shared" ca="1" si="11"/>
        <v>0.626388888888888</v>
      </c>
      <c r="S38" s="3">
        <f t="shared" ca="1" si="11"/>
        <v>0.63541666666666596</v>
      </c>
      <c r="T38" s="3">
        <f t="shared" ca="1" si="11"/>
        <v>0.64027777777777706</v>
      </c>
      <c r="U38" s="3">
        <f t="shared" ca="1" si="11"/>
        <v>0.64583333333333304</v>
      </c>
      <c r="V38" s="3">
        <f t="shared" ca="1" si="11"/>
        <v>0.65208333333333302</v>
      </c>
      <c r="W38" s="4">
        <f t="shared" ca="1" si="0"/>
        <v>5.8333333333333015E-2</v>
      </c>
    </row>
    <row r="39" spans="1:23" ht="15.75" customHeight="1" x14ac:dyDescent="0.15">
      <c r="A39" s="2" t="s">
        <v>121</v>
      </c>
      <c r="B39" s="3">
        <f ca="1">IFERROR(__xludf.DUMMYFUNCTION("SPLIT(A39,"" "")"),0.104166666666666)</f>
        <v>0.10416666666666601</v>
      </c>
      <c r="C39" s="3">
        <f ca="1">IFERROR(__xludf.DUMMYFUNCTION("""COMPUTED_VALUE"""),0.108333333333333)</f>
        <v>0.108333333333333</v>
      </c>
      <c r="D39" s="3">
        <f ca="1">IFERROR(__xludf.DUMMYFUNCTION("""COMPUTED_VALUE"""),0.115277777777777)</f>
        <v>0.11527777777777699</v>
      </c>
      <c r="E39" s="3">
        <f ca="1">IFERROR(__xludf.DUMMYFUNCTION("""COMPUTED_VALUE"""),0.122916666666666)</f>
        <v>0.12291666666666599</v>
      </c>
      <c r="F39" s="3">
        <f ca="1">IFERROR(__xludf.DUMMYFUNCTION("""COMPUTED_VALUE"""),0.129861111111111)</f>
        <v>0.12986111111111101</v>
      </c>
      <c r="G39" s="3">
        <f ca="1">IFERROR(__xludf.DUMMYFUNCTION("""COMPUTED_VALUE"""),0.136805555555555)</f>
        <v>0.13680555555555499</v>
      </c>
      <c r="H39" s="3">
        <f ca="1">IFERROR(__xludf.DUMMYFUNCTION("""COMPUTED_VALUE"""),0.145833333333333)</f>
        <v>0.14583333333333301</v>
      </c>
      <c r="I39" s="3">
        <f ca="1">IFERROR(__xludf.DUMMYFUNCTION("""COMPUTED_VALUE"""),0.150694444444444)</f>
        <v>0.15069444444444399</v>
      </c>
      <c r="J39" s="3">
        <f ca="1">IFERROR(__xludf.DUMMYFUNCTION("""COMPUTED_VALUE"""),0.15625)</f>
        <v>0.15625</v>
      </c>
      <c r="K39" s="3">
        <f ca="1">IFERROR(__xludf.DUMMYFUNCTION("""COMPUTED_VALUE"""),0.1625)</f>
        <v>0.16250000000000001</v>
      </c>
      <c r="M39" s="3">
        <f t="shared" ref="M39:V39" ca="1" si="12">B39+0.5</f>
        <v>0.60416666666666596</v>
      </c>
      <c r="N39" s="3">
        <f t="shared" ca="1" si="12"/>
        <v>0.60833333333333295</v>
      </c>
      <c r="O39" s="3">
        <f t="shared" ca="1" si="12"/>
        <v>0.61527777777777704</v>
      </c>
      <c r="P39" s="3">
        <f t="shared" ca="1" si="12"/>
        <v>0.62291666666666601</v>
      </c>
      <c r="Q39" s="3">
        <f t="shared" ca="1" si="12"/>
        <v>0.62986111111111098</v>
      </c>
      <c r="R39" s="3">
        <f t="shared" ca="1" si="12"/>
        <v>0.63680555555555496</v>
      </c>
      <c r="S39" s="3">
        <f t="shared" ca="1" si="12"/>
        <v>0.64583333333333304</v>
      </c>
      <c r="T39" s="3">
        <f t="shared" ca="1" si="12"/>
        <v>0.65069444444444402</v>
      </c>
      <c r="U39" s="3">
        <f t="shared" ca="1" si="12"/>
        <v>0.65625</v>
      </c>
      <c r="V39" s="3">
        <f t="shared" ca="1" si="12"/>
        <v>0.66249999999999998</v>
      </c>
      <c r="W39" s="4">
        <f t="shared" ca="1" si="0"/>
        <v>5.8333333333334014E-2</v>
      </c>
    </row>
    <row r="40" spans="1:23" ht="15.75" customHeight="1" x14ac:dyDescent="0.15">
      <c r="A40" s="2" t="s">
        <v>122</v>
      </c>
      <c r="B40" s="3">
        <f ca="1">IFERROR(__xludf.DUMMYFUNCTION("SPLIT(A40,"" "")"),0.114583333333333)</f>
        <v>0.114583333333333</v>
      </c>
      <c r="C40" s="3">
        <f ca="1">IFERROR(__xludf.DUMMYFUNCTION("""COMPUTED_VALUE"""),0.11875)</f>
        <v>0.11874999999999999</v>
      </c>
      <c r="D40" s="3">
        <f ca="1">IFERROR(__xludf.DUMMYFUNCTION("""COMPUTED_VALUE"""),0.125694444444444)</f>
        <v>0.125694444444444</v>
      </c>
      <c r="E40" s="3">
        <f ca="1">IFERROR(__xludf.DUMMYFUNCTION("""COMPUTED_VALUE"""),0.133333333333333)</f>
        <v>0.133333333333333</v>
      </c>
      <c r="F40" s="3">
        <f ca="1">IFERROR(__xludf.DUMMYFUNCTION("""COMPUTED_VALUE"""),0.140277777777777)</f>
        <v>0.140277777777777</v>
      </c>
      <c r="G40" s="3">
        <f ca="1">IFERROR(__xludf.DUMMYFUNCTION("""COMPUTED_VALUE"""),0.147222222222222)</f>
        <v>0.147222222222222</v>
      </c>
      <c r="H40" s="3">
        <f ca="1">IFERROR(__xludf.DUMMYFUNCTION("""COMPUTED_VALUE"""),0.15625)</f>
        <v>0.15625</v>
      </c>
      <c r="I40" s="3">
        <f ca="1">IFERROR(__xludf.DUMMYFUNCTION("""COMPUTED_VALUE"""),0.161111111111111)</f>
        <v>0.16111111111111101</v>
      </c>
      <c r="J40" s="3">
        <f ca="1">IFERROR(__xludf.DUMMYFUNCTION("""COMPUTED_VALUE"""),0.166666666666666)</f>
        <v>0.16666666666666599</v>
      </c>
      <c r="K40" s="3">
        <f ca="1">IFERROR(__xludf.DUMMYFUNCTION("""COMPUTED_VALUE"""),0.172916666666666)</f>
        <v>0.172916666666666</v>
      </c>
      <c r="M40" s="3">
        <f t="shared" ref="M40:V40" ca="1" si="13">B40+0.5</f>
        <v>0.61458333333333304</v>
      </c>
      <c r="N40" s="3">
        <f t="shared" ca="1" si="13"/>
        <v>0.61875000000000002</v>
      </c>
      <c r="O40" s="3">
        <f t="shared" ca="1" si="13"/>
        <v>0.625694444444444</v>
      </c>
      <c r="P40" s="3">
        <f t="shared" ca="1" si="13"/>
        <v>0.63333333333333297</v>
      </c>
      <c r="Q40" s="3">
        <f t="shared" ca="1" si="13"/>
        <v>0.64027777777777706</v>
      </c>
      <c r="R40" s="3">
        <f t="shared" ca="1" si="13"/>
        <v>0.64722222222222203</v>
      </c>
      <c r="S40" s="3">
        <f t="shared" ca="1" si="13"/>
        <v>0.65625</v>
      </c>
      <c r="T40" s="3">
        <f t="shared" ca="1" si="13"/>
        <v>0.66111111111111098</v>
      </c>
      <c r="U40" s="3">
        <f t="shared" ca="1" si="13"/>
        <v>0.66666666666666596</v>
      </c>
      <c r="V40" s="3">
        <f t="shared" ca="1" si="13"/>
        <v>0.67291666666666594</v>
      </c>
      <c r="W40" s="4">
        <f t="shared" ca="1" si="0"/>
        <v>5.8333333333332904E-2</v>
      </c>
    </row>
    <row r="41" spans="1:23" ht="15.75" customHeight="1" x14ac:dyDescent="0.15">
      <c r="A41" s="2" t="s">
        <v>123</v>
      </c>
      <c r="B41" s="3">
        <f ca="1">IFERROR(__xludf.DUMMYFUNCTION("SPLIT(A41,"" "")"),0.125)</f>
        <v>0.125</v>
      </c>
      <c r="C41" s="3">
        <f ca="1">IFERROR(__xludf.DUMMYFUNCTION("""COMPUTED_VALUE"""),0.129166666666666)</f>
        <v>0.12916666666666601</v>
      </c>
      <c r="D41" s="3">
        <f ca="1">IFERROR(__xludf.DUMMYFUNCTION("""COMPUTED_VALUE"""),0.136111111111111)</f>
        <v>0.13611111111111099</v>
      </c>
      <c r="E41" s="3">
        <f ca="1">IFERROR(__xludf.DUMMYFUNCTION("""COMPUTED_VALUE"""),0.14375)</f>
        <v>0.14374999999999999</v>
      </c>
      <c r="F41" s="3">
        <f ca="1">IFERROR(__xludf.DUMMYFUNCTION("""COMPUTED_VALUE"""),0.150694444444444)</f>
        <v>0.15069444444444399</v>
      </c>
      <c r="G41" s="3">
        <f ca="1">IFERROR(__xludf.DUMMYFUNCTION("""COMPUTED_VALUE"""),0.157638888888888)</f>
        <v>0.157638888888888</v>
      </c>
      <c r="H41" s="3">
        <f ca="1">IFERROR(__xludf.DUMMYFUNCTION("""COMPUTED_VALUE"""),0.166666666666666)</f>
        <v>0.16666666666666599</v>
      </c>
      <c r="I41" s="3">
        <f ca="1">IFERROR(__xludf.DUMMYFUNCTION("""COMPUTED_VALUE"""),0.171527777777777)</f>
        <v>0.171527777777777</v>
      </c>
      <c r="J41" s="3">
        <f ca="1">IFERROR(__xludf.DUMMYFUNCTION("""COMPUTED_VALUE"""),0.177083333333333)</f>
        <v>0.17708333333333301</v>
      </c>
      <c r="K41" s="3">
        <f ca="1">IFERROR(__xludf.DUMMYFUNCTION("""COMPUTED_VALUE"""),0.183333333333333)</f>
        <v>0.18333333333333299</v>
      </c>
      <c r="M41" s="3">
        <f t="shared" ref="M41:V41" ca="1" si="14">B41+0.5</f>
        <v>0.625</v>
      </c>
      <c r="N41" s="3">
        <f t="shared" ca="1" si="14"/>
        <v>0.62916666666666599</v>
      </c>
      <c r="O41" s="3">
        <f t="shared" ca="1" si="14"/>
        <v>0.63611111111111096</v>
      </c>
      <c r="P41" s="3">
        <f t="shared" ca="1" si="14"/>
        <v>0.64375000000000004</v>
      </c>
      <c r="Q41" s="3">
        <f t="shared" ca="1" si="14"/>
        <v>0.65069444444444402</v>
      </c>
      <c r="R41" s="3">
        <f t="shared" ca="1" si="14"/>
        <v>0.657638888888888</v>
      </c>
      <c r="S41" s="3">
        <f t="shared" ca="1" si="14"/>
        <v>0.66666666666666596</v>
      </c>
      <c r="T41" s="3">
        <f t="shared" ca="1" si="14"/>
        <v>0.67152777777777706</v>
      </c>
      <c r="U41" s="3">
        <f t="shared" ca="1" si="14"/>
        <v>0.67708333333333304</v>
      </c>
      <c r="V41" s="3">
        <f t="shared" ca="1" si="14"/>
        <v>0.68333333333333302</v>
      </c>
      <c r="W41" s="4">
        <f t="shared" ca="1" si="0"/>
        <v>5.8333333333333015E-2</v>
      </c>
    </row>
    <row r="42" spans="1:23" ht="15.75" customHeight="1" x14ac:dyDescent="0.15">
      <c r="A42" s="2" t="s">
        <v>124</v>
      </c>
      <c r="B42" s="3">
        <f ca="1">IFERROR(__xludf.DUMMYFUNCTION("SPLIT(A42,"" "")"),0.135416666666666)</f>
        <v>0.13541666666666599</v>
      </c>
      <c r="C42" s="3">
        <f ca="1">IFERROR(__xludf.DUMMYFUNCTION("""COMPUTED_VALUE"""),0.139583333333333)</f>
        <v>0.139583333333333</v>
      </c>
      <c r="D42" s="3">
        <f ca="1">IFERROR(__xludf.DUMMYFUNCTION("""COMPUTED_VALUE"""),0.146527777777777)</f>
        <v>0.14652777777777701</v>
      </c>
      <c r="E42" s="3">
        <f ca="1">IFERROR(__xludf.DUMMYFUNCTION("""COMPUTED_VALUE"""),0.154166666666666)</f>
        <v>0.15416666666666601</v>
      </c>
      <c r="F42" s="3">
        <f ca="1">IFERROR(__xludf.DUMMYFUNCTION("""COMPUTED_VALUE"""),0.161111111111111)</f>
        <v>0.16111111111111101</v>
      </c>
      <c r="G42" s="3">
        <f ca="1">IFERROR(__xludf.DUMMYFUNCTION("""COMPUTED_VALUE"""),0.168055555555555)</f>
        <v>0.16805555555555499</v>
      </c>
      <c r="H42" s="3">
        <f ca="1">IFERROR(__xludf.DUMMYFUNCTION("""COMPUTED_VALUE"""),0.177083333333333)</f>
        <v>0.17708333333333301</v>
      </c>
      <c r="I42" s="3">
        <f ca="1">IFERROR(__xludf.DUMMYFUNCTION("""COMPUTED_VALUE"""),0.181944444444444)</f>
        <v>0.18194444444444399</v>
      </c>
      <c r="J42" s="3">
        <f ca="1">IFERROR(__xludf.DUMMYFUNCTION("""COMPUTED_VALUE"""),0.1875)</f>
        <v>0.1875</v>
      </c>
      <c r="K42" s="3">
        <f ca="1">IFERROR(__xludf.DUMMYFUNCTION("""COMPUTED_VALUE"""),0.19375)</f>
        <v>0.19375000000000001</v>
      </c>
      <c r="M42" s="3">
        <f t="shared" ref="M42:V42" ca="1" si="15">B42+0.5</f>
        <v>0.63541666666666596</v>
      </c>
      <c r="N42" s="3">
        <f t="shared" ca="1" si="15"/>
        <v>0.63958333333333295</v>
      </c>
      <c r="O42" s="3">
        <f t="shared" ca="1" si="15"/>
        <v>0.64652777777777704</v>
      </c>
      <c r="P42" s="3">
        <f t="shared" ca="1" si="15"/>
        <v>0.65416666666666601</v>
      </c>
      <c r="Q42" s="3">
        <f t="shared" ca="1" si="15"/>
        <v>0.66111111111111098</v>
      </c>
      <c r="R42" s="3">
        <f t="shared" ca="1" si="15"/>
        <v>0.66805555555555496</v>
      </c>
      <c r="S42" s="3">
        <f t="shared" ca="1" si="15"/>
        <v>0.67708333333333304</v>
      </c>
      <c r="T42" s="3">
        <f t="shared" ca="1" si="15"/>
        <v>0.68194444444444402</v>
      </c>
      <c r="U42" s="3">
        <f t="shared" ca="1" si="15"/>
        <v>0.6875</v>
      </c>
      <c r="V42" s="3">
        <f t="shared" ca="1" si="15"/>
        <v>0.69374999999999998</v>
      </c>
      <c r="W42" s="4">
        <f t="shared" ca="1" si="0"/>
        <v>5.8333333333334014E-2</v>
      </c>
    </row>
    <row r="43" spans="1:23" ht="15.75" customHeight="1" x14ac:dyDescent="0.15">
      <c r="A43" s="2" t="s">
        <v>125</v>
      </c>
      <c r="B43" s="3">
        <f ca="1">IFERROR(__xludf.DUMMYFUNCTION("SPLIT(A43,"" "")"),0.145833333333333)</f>
        <v>0.14583333333333301</v>
      </c>
      <c r="C43" s="3">
        <f ca="1">IFERROR(__xludf.DUMMYFUNCTION("""COMPUTED_VALUE"""),0.15)</f>
        <v>0.15</v>
      </c>
      <c r="D43" s="3">
        <f ca="1">IFERROR(__xludf.DUMMYFUNCTION("""COMPUTED_VALUE"""),0.156944444444444)</f>
        <v>0.156944444444444</v>
      </c>
      <c r="E43" s="3">
        <f ca="1">IFERROR(__xludf.DUMMYFUNCTION("""COMPUTED_VALUE"""),0.164583333333333)</f>
        <v>0.164583333333333</v>
      </c>
      <c r="F43" s="3">
        <f ca="1">IFERROR(__xludf.DUMMYFUNCTION("""COMPUTED_VALUE"""),0.171527777777777)</f>
        <v>0.171527777777777</v>
      </c>
      <c r="G43" s="3">
        <f ca="1">IFERROR(__xludf.DUMMYFUNCTION("""COMPUTED_VALUE"""),0.178472222222222)</f>
        <v>0.178472222222222</v>
      </c>
      <c r="H43" s="3">
        <f ca="1">IFERROR(__xludf.DUMMYFUNCTION("""COMPUTED_VALUE"""),0.1875)</f>
        <v>0.1875</v>
      </c>
      <c r="I43" s="3">
        <f ca="1">IFERROR(__xludf.DUMMYFUNCTION("""COMPUTED_VALUE"""),0.192361111111111)</f>
        <v>0.19236111111111101</v>
      </c>
      <c r="J43" s="3">
        <f ca="1">IFERROR(__xludf.DUMMYFUNCTION("""COMPUTED_VALUE"""),0.197916666666666)</f>
        <v>0.19791666666666599</v>
      </c>
      <c r="K43" s="3">
        <f ca="1">IFERROR(__xludf.DUMMYFUNCTION("""COMPUTED_VALUE"""),0.204166666666666)</f>
        <v>0.204166666666666</v>
      </c>
      <c r="M43" s="3">
        <f t="shared" ref="M43:V43" ca="1" si="16">B43+0.5</f>
        <v>0.64583333333333304</v>
      </c>
      <c r="N43" s="3">
        <f t="shared" ca="1" si="16"/>
        <v>0.65</v>
      </c>
      <c r="O43" s="3">
        <f t="shared" ca="1" si="16"/>
        <v>0.656944444444444</v>
      </c>
      <c r="P43" s="3">
        <f t="shared" ca="1" si="16"/>
        <v>0.66458333333333297</v>
      </c>
      <c r="Q43" s="3">
        <f t="shared" ca="1" si="16"/>
        <v>0.67152777777777706</v>
      </c>
      <c r="R43" s="3">
        <f t="shared" ca="1" si="16"/>
        <v>0.67847222222222203</v>
      </c>
      <c r="S43" s="3">
        <f t="shared" ca="1" si="16"/>
        <v>0.6875</v>
      </c>
      <c r="T43" s="3">
        <f t="shared" ca="1" si="16"/>
        <v>0.69236111111111098</v>
      </c>
      <c r="U43" s="3">
        <f t="shared" ca="1" si="16"/>
        <v>0.69791666666666596</v>
      </c>
      <c r="V43" s="3">
        <f t="shared" ca="1" si="16"/>
        <v>0.70416666666666594</v>
      </c>
      <c r="W43" s="4">
        <f t="shared" ca="1" si="0"/>
        <v>5.8333333333332904E-2</v>
      </c>
    </row>
    <row r="44" spans="1:23" ht="15.75" customHeight="1" x14ac:dyDescent="0.15">
      <c r="A44" s="2" t="s">
        <v>126</v>
      </c>
      <c r="B44" s="3">
        <f ca="1">IFERROR(__xludf.DUMMYFUNCTION("SPLIT(A44,"" "")"),0.15625)</f>
        <v>0.15625</v>
      </c>
      <c r="C44" s="3">
        <f ca="1">IFERROR(__xludf.DUMMYFUNCTION("""COMPUTED_VALUE"""),0.160416666666666)</f>
        <v>0.16041666666666601</v>
      </c>
      <c r="D44" s="3">
        <f ca="1">IFERROR(__xludf.DUMMYFUNCTION("""COMPUTED_VALUE"""),0.167361111111111)</f>
        <v>0.16736111111111099</v>
      </c>
      <c r="E44" s="3">
        <f ca="1">IFERROR(__xludf.DUMMYFUNCTION("""COMPUTED_VALUE"""),0.175)</f>
        <v>0.17499999999999999</v>
      </c>
      <c r="F44" s="3">
        <f ca="1">IFERROR(__xludf.DUMMYFUNCTION("""COMPUTED_VALUE"""),0.181944444444444)</f>
        <v>0.18194444444444399</v>
      </c>
      <c r="G44" s="3">
        <f ca="1">IFERROR(__xludf.DUMMYFUNCTION("""COMPUTED_VALUE"""),0.188888888888888)</f>
        <v>0.188888888888888</v>
      </c>
      <c r="H44" s="3">
        <f ca="1">IFERROR(__xludf.DUMMYFUNCTION("""COMPUTED_VALUE"""),0.197916666666666)</f>
        <v>0.19791666666666599</v>
      </c>
      <c r="I44" s="3">
        <f ca="1">IFERROR(__xludf.DUMMYFUNCTION("""COMPUTED_VALUE"""),0.202777777777777)</f>
        <v>0.202777777777777</v>
      </c>
      <c r="J44" s="3">
        <f ca="1">IFERROR(__xludf.DUMMYFUNCTION("""COMPUTED_VALUE"""),0.208333333333333)</f>
        <v>0.20833333333333301</v>
      </c>
      <c r="K44" s="3">
        <f ca="1">IFERROR(__xludf.DUMMYFUNCTION("""COMPUTED_VALUE"""),0.214583333333333)</f>
        <v>0.21458333333333299</v>
      </c>
      <c r="M44" s="3">
        <f t="shared" ref="M44:V44" ca="1" si="17">B44+0.5</f>
        <v>0.65625</v>
      </c>
      <c r="N44" s="3">
        <f t="shared" ca="1" si="17"/>
        <v>0.66041666666666599</v>
      </c>
      <c r="O44" s="3">
        <f t="shared" ca="1" si="17"/>
        <v>0.66736111111111096</v>
      </c>
      <c r="P44" s="3">
        <f t="shared" ca="1" si="17"/>
        <v>0.67500000000000004</v>
      </c>
      <c r="Q44" s="3">
        <f t="shared" ca="1" si="17"/>
        <v>0.68194444444444402</v>
      </c>
      <c r="R44" s="3">
        <f t="shared" ca="1" si="17"/>
        <v>0.688888888888888</v>
      </c>
      <c r="S44" s="3">
        <f t="shared" ca="1" si="17"/>
        <v>0.69791666666666596</v>
      </c>
      <c r="T44" s="3">
        <f t="shared" ca="1" si="17"/>
        <v>0.70277777777777706</v>
      </c>
      <c r="U44" s="3">
        <f t="shared" ca="1" si="17"/>
        <v>0.70833333333333304</v>
      </c>
      <c r="V44" s="3">
        <f t="shared" ca="1" si="17"/>
        <v>0.71458333333333302</v>
      </c>
      <c r="W44" s="4">
        <f t="shared" ca="1" si="0"/>
        <v>5.8333333333333015E-2</v>
      </c>
    </row>
    <row r="45" spans="1:23" ht="15.75" customHeight="1" x14ac:dyDescent="0.15">
      <c r="A45" s="2" t="s">
        <v>127</v>
      </c>
      <c r="B45" s="3">
        <f ca="1">IFERROR(__xludf.DUMMYFUNCTION("SPLIT(A45,"" "")"),0.166666666666666)</f>
        <v>0.16666666666666599</v>
      </c>
      <c r="C45" s="3">
        <f ca="1">IFERROR(__xludf.DUMMYFUNCTION("""COMPUTED_VALUE"""),0.170833333333333)</f>
        <v>0.170833333333333</v>
      </c>
      <c r="D45" s="3">
        <f ca="1">IFERROR(__xludf.DUMMYFUNCTION("""COMPUTED_VALUE"""),0.177777777777777)</f>
        <v>0.17777777777777701</v>
      </c>
      <c r="E45" s="3">
        <f ca="1">IFERROR(__xludf.DUMMYFUNCTION("""COMPUTED_VALUE"""),0.185416666666666)</f>
        <v>0.18541666666666601</v>
      </c>
      <c r="F45" s="3">
        <f ca="1">IFERROR(__xludf.DUMMYFUNCTION("""COMPUTED_VALUE"""),0.192361111111111)</f>
        <v>0.19236111111111101</v>
      </c>
      <c r="G45" s="3">
        <f ca="1">IFERROR(__xludf.DUMMYFUNCTION("""COMPUTED_VALUE"""),0.199305555555555)</f>
        <v>0.19930555555555499</v>
      </c>
      <c r="H45" s="3">
        <f ca="1">IFERROR(__xludf.DUMMYFUNCTION("""COMPUTED_VALUE"""),0.208333333333333)</f>
        <v>0.20833333333333301</v>
      </c>
      <c r="I45" s="3">
        <f ca="1">IFERROR(__xludf.DUMMYFUNCTION("""COMPUTED_VALUE"""),0.213194444444444)</f>
        <v>0.21319444444444399</v>
      </c>
      <c r="J45" s="3">
        <f ca="1">IFERROR(__xludf.DUMMYFUNCTION("""COMPUTED_VALUE"""),0.21875)</f>
        <v>0.21875</v>
      </c>
      <c r="K45" s="3">
        <f ca="1">IFERROR(__xludf.DUMMYFUNCTION("""COMPUTED_VALUE"""),0.225)</f>
        <v>0.22500000000000001</v>
      </c>
      <c r="M45" s="3">
        <f t="shared" ref="M45:V45" ca="1" si="18">B45+0.5</f>
        <v>0.66666666666666596</v>
      </c>
      <c r="N45" s="3">
        <f t="shared" ca="1" si="18"/>
        <v>0.67083333333333295</v>
      </c>
      <c r="O45" s="3">
        <f t="shared" ca="1" si="18"/>
        <v>0.67777777777777704</v>
      </c>
      <c r="P45" s="3">
        <f t="shared" ca="1" si="18"/>
        <v>0.68541666666666601</v>
      </c>
      <c r="Q45" s="3">
        <f t="shared" ca="1" si="18"/>
        <v>0.69236111111111098</v>
      </c>
      <c r="R45" s="3">
        <f t="shared" ca="1" si="18"/>
        <v>0.69930555555555496</v>
      </c>
      <c r="S45" s="3">
        <f t="shared" ca="1" si="18"/>
        <v>0.70833333333333304</v>
      </c>
      <c r="T45" s="3">
        <f t="shared" ca="1" si="18"/>
        <v>0.71319444444444402</v>
      </c>
      <c r="U45" s="3">
        <f t="shared" ca="1" si="18"/>
        <v>0.71875</v>
      </c>
      <c r="V45" s="3">
        <f t="shared" ca="1" si="18"/>
        <v>0.72499999999999998</v>
      </c>
      <c r="W45" s="4">
        <f t="shared" ca="1" si="0"/>
        <v>5.8333333333334014E-2</v>
      </c>
    </row>
    <row r="46" spans="1:23" ht="15.75" customHeight="1" x14ac:dyDescent="0.15">
      <c r="A46" s="2" t="s">
        <v>128</v>
      </c>
      <c r="B46" s="3">
        <f ca="1">IFERROR(__xludf.DUMMYFUNCTION("SPLIT(A46,"" "")"),0.177083333333333)</f>
        <v>0.17708333333333301</v>
      </c>
      <c r="C46" s="3">
        <f ca="1">IFERROR(__xludf.DUMMYFUNCTION("""COMPUTED_VALUE"""),0.18125)</f>
        <v>0.18124999999999999</v>
      </c>
      <c r="D46" s="3">
        <f ca="1">IFERROR(__xludf.DUMMYFUNCTION("""COMPUTED_VALUE"""),0.188194444444444)</f>
        <v>0.188194444444444</v>
      </c>
      <c r="E46" s="3">
        <f ca="1">IFERROR(__xludf.DUMMYFUNCTION("""COMPUTED_VALUE"""),0.195833333333333)</f>
        <v>0.195833333333333</v>
      </c>
      <c r="F46" s="3">
        <f ca="1">IFERROR(__xludf.DUMMYFUNCTION("""COMPUTED_VALUE"""),0.202777777777777)</f>
        <v>0.202777777777777</v>
      </c>
      <c r="G46" s="3">
        <f ca="1">IFERROR(__xludf.DUMMYFUNCTION("""COMPUTED_VALUE"""),0.209722222222222)</f>
        <v>0.209722222222222</v>
      </c>
      <c r="H46" s="3">
        <f ca="1">IFERROR(__xludf.DUMMYFUNCTION("""COMPUTED_VALUE"""),0.21875)</f>
        <v>0.21875</v>
      </c>
      <c r="I46" s="3">
        <f ca="1">IFERROR(__xludf.DUMMYFUNCTION("""COMPUTED_VALUE"""),0.223611111111111)</f>
        <v>0.22361111111111101</v>
      </c>
      <c r="J46" s="3">
        <f ca="1">IFERROR(__xludf.DUMMYFUNCTION("""COMPUTED_VALUE"""),0.229166666666666)</f>
        <v>0.22916666666666599</v>
      </c>
      <c r="K46" s="3">
        <f ca="1">IFERROR(__xludf.DUMMYFUNCTION("""COMPUTED_VALUE"""),0.235416666666666)</f>
        <v>0.235416666666666</v>
      </c>
      <c r="M46" s="3">
        <f t="shared" ref="M46:V46" ca="1" si="19">B46+0.5</f>
        <v>0.67708333333333304</v>
      </c>
      <c r="N46" s="3">
        <f t="shared" ca="1" si="19"/>
        <v>0.68125000000000002</v>
      </c>
      <c r="O46" s="3">
        <f t="shared" ca="1" si="19"/>
        <v>0.688194444444444</v>
      </c>
      <c r="P46" s="3">
        <f t="shared" ca="1" si="19"/>
        <v>0.69583333333333297</v>
      </c>
      <c r="Q46" s="3">
        <f t="shared" ca="1" si="19"/>
        <v>0.70277777777777706</v>
      </c>
      <c r="R46" s="3">
        <f t="shared" ca="1" si="19"/>
        <v>0.70972222222222203</v>
      </c>
      <c r="S46" s="3">
        <f t="shared" ca="1" si="19"/>
        <v>0.71875</v>
      </c>
      <c r="T46" s="3">
        <f t="shared" ca="1" si="19"/>
        <v>0.72361111111111098</v>
      </c>
      <c r="U46" s="3">
        <f t="shared" ca="1" si="19"/>
        <v>0.72916666666666596</v>
      </c>
      <c r="V46" s="3">
        <f t="shared" ca="1" si="19"/>
        <v>0.73541666666666594</v>
      </c>
      <c r="W46" s="4">
        <f t="shared" ca="1" si="0"/>
        <v>5.8333333333332904E-2</v>
      </c>
    </row>
    <row r="47" spans="1:23" ht="15.75" customHeight="1" x14ac:dyDescent="0.15">
      <c r="A47" s="2" t="s">
        <v>129</v>
      </c>
      <c r="B47" s="3">
        <f ca="1">IFERROR(__xludf.DUMMYFUNCTION("SPLIT(A47,"" "")"),0.1875)</f>
        <v>0.1875</v>
      </c>
      <c r="C47" s="3">
        <f ca="1">IFERROR(__xludf.DUMMYFUNCTION("""COMPUTED_VALUE"""),0.191666666666666)</f>
        <v>0.19166666666666601</v>
      </c>
      <c r="D47" s="3">
        <f ca="1">IFERROR(__xludf.DUMMYFUNCTION("""COMPUTED_VALUE"""),0.198611111111111)</f>
        <v>0.19861111111111099</v>
      </c>
      <c r="E47" s="3">
        <f ca="1">IFERROR(__xludf.DUMMYFUNCTION("""COMPUTED_VALUE"""),0.20625)</f>
        <v>0.20624999999999999</v>
      </c>
      <c r="F47" s="3">
        <f ca="1">IFERROR(__xludf.DUMMYFUNCTION("""COMPUTED_VALUE"""),0.213194444444444)</f>
        <v>0.21319444444444399</v>
      </c>
      <c r="G47" s="3">
        <f ca="1">IFERROR(__xludf.DUMMYFUNCTION("""COMPUTED_VALUE"""),0.220138888888888)</f>
        <v>0.220138888888888</v>
      </c>
      <c r="H47" s="3">
        <f ca="1">IFERROR(__xludf.DUMMYFUNCTION("""COMPUTED_VALUE"""),0.229166666666666)</f>
        <v>0.22916666666666599</v>
      </c>
      <c r="I47" s="3">
        <f ca="1">IFERROR(__xludf.DUMMYFUNCTION("""COMPUTED_VALUE"""),0.234027777777777)</f>
        <v>0.234027777777777</v>
      </c>
      <c r="J47" s="3">
        <f ca="1">IFERROR(__xludf.DUMMYFUNCTION("""COMPUTED_VALUE"""),0.239583333333333)</f>
        <v>0.23958333333333301</v>
      </c>
      <c r="K47" s="3">
        <f ca="1">IFERROR(__xludf.DUMMYFUNCTION("""COMPUTED_VALUE"""),0.245833333333333)</f>
        <v>0.24583333333333299</v>
      </c>
      <c r="M47" s="3">
        <f t="shared" ref="M47:V47" ca="1" si="20">B47+0.5</f>
        <v>0.6875</v>
      </c>
      <c r="N47" s="3">
        <f t="shared" ca="1" si="20"/>
        <v>0.69166666666666599</v>
      </c>
      <c r="O47" s="3">
        <f t="shared" ca="1" si="20"/>
        <v>0.69861111111111096</v>
      </c>
      <c r="P47" s="3">
        <f t="shared" ca="1" si="20"/>
        <v>0.70625000000000004</v>
      </c>
      <c r="Q47" s="3">
        <f t="shared" ca="1" si="20"/>
        <v>0.71319444444444402</v>
      </c>
      <c r="R47" s="3">
        <f t="shared" ca="1" si="20"/>
        <v>0.720138888888888</v>
      </c>
      <c r="S47" s="3">
        <f t="shared" ca="1" si="20"/>
        <v>0.72916666666666596</v>
      </c>
      <c r="T47" s="3">
        <f t="shared" ca="1" si="20"/>
        <v>0.73402777777777706</v>
      </c>
      <c r="U47" s="3">
        <f t="shared" ca="1" si="20"/>
        <v>0.73958333333333304</v>
      </c>
      <c r="V47" s="3">
        <f t="shared" ca="1" si="20"/>
        <v>0.74583333333333302</v>
      </c>
      <c r="W47" s="4">
        <f t="shared" ca="1" si="0"/>
        <v>5.8333333333333015E-2</v>
      </c>
    </row>
    <row r="48" spans="1:23" ht="15.75" customHeight="1" x14ac:dyDescent="0.15">
      <c r="A48" s="2" t="s">
        <v>130</v>
      </c>
      <c r="B48" s="3">
        <f ca="1">IFERROR(__xludf.DUMMYFUNCTION("SPLIT(A48,"" "")"),0.197916666666666)</f>
        <v>0.19791666666666599</v>
      </c>
      <c r="C48" s="3">
        <f ca="1">IFERROR(__xludf.DUMMYFUNCTION("""COMPUTED_VALUE"""),0.202083333333333)</f>
        <v>0.202083333333333</v>
      </c>
      <c r="D48" s="3">
        <f ca="1">IFERROR(__xludf.DUMMYFUNCTION("""COMPUTED_VALUE"""),0.209027777777777)</f>
        <v>0.20902777777777701</v>
      </c>
      <c r="E48" s="3">
        <f ca="1">IFERROR(__xludf.DUMMYFUNCTION("""COMPUTED_VALUE"""),0.216666666666666)</f>
        <v>0.21666666666666601</v>
      </c>
      <c r="F48" s="3">
        <f ca="1">IFERROR(__xludf.DUMMYFUNCTION("""COMPUTED_VALUE"""),0.223611111111111)</f>
        <v>0.22361111111111101</v>
      </c>
      <c r="G48" s="3">
        <f ca="1">IFERROR(__xludf.DUMMYFUNCTION("""COMPUTED_VALUE"""),0.230555555555555)</f>
        <v>0.23055555555555499</v>
      </c>
      <c r="H48" s="3">
        <f ca="1">IFERROR(__xludf.DUMMYFUNCTION("""COMPUTED_VALUE"""),0.239583333333333)</f>
        <v>0.23958333333333301</v>
      </c>
      <c r="I48" s="3">
        <f ca="1">IFERROR(__xludf.DUMMYFUNCTION("""COMPUTED_VALUE"""),0.244444444444444)</f>
        <v>0.24444444444444399</v>
      </c>
      <c r="J48" s="3">
        <f ca="1">IFERROR(__xludf.DUMMYFUNCTION("""COMPUTED_VALUE"""),0.25)</f>
        <v>0.25</v>
      </c>
      <c r="K48" s="3">
        <f ca="1">IFERROR(__xludf.DUMMYFUNCTION("""COMPUTED_VALUE"""),0.25625)</f>
        <v>0.25624999999999998</v>
      </c>
      <c r="M48" s="3">
        <f t="shared" ref="M48:V48" ca="1" si="21">B48+0.5</f>
        <v>0.69791666666666596</v>
      </c>
      <c r="N48" s="3">
        <f t="shared" ca="1" si="21"/>
        <v>0.70208333333333295</v>
      </c>
      <c r="O48" s="3">
        <f t="shared" ca="1" si="21"/>
        <v>0.70902777777777704</v>
      </c>
      <c r="P48" s="3">
        <f t="shared" ca="1" si="21"/>
        <v>0.71666666666666601</v>
      </c>
      <c r="Q48" s="3">
        <f t="shared" ca="1" si="21"/>
        <v>0.72361111111111098</v>
      </c>
      <c r="R48" s="3">
        <f t="shared" ca="1" si="21"/>
        <v>0.73055555555555496</v>
      </c>
      <c r="S48" s="3">
        <f t="shared" ca="1" si="21"/>
        <v>0.73958333333333304</v>
      </c>
      <c r="T48" s="3">
        <f t="shared" ca="1" si="21"/>
        <v>0.74444444444444402</v>
      </c>
      <c r="U48" s="3">
        <f t="shared" ca="1" si="21"/>
        <v>0.75</v>
      </c>
      <c r="V48" s="3">
        <f t="shared" ca="1" si="21"/>
        <v>0.75624999999999998</v>
      </c>
      <c r="W48" s="4">
        <f t="shared" ca="1" si="0"/>
        <v>5.8333333333334014E-2</v>
      </c>
    </row>
    <row r="49" spans="1:23" ht="15.75" customHeight="1" x14ac:dyDescent="0.15">
      <c r="A49" s="2" t="s">
        <v>131</v>
      </c>
      <c r="B49" s="3">
        <f ca="1">IFERROR(__xludf.DUMMYFUNCTION("SPLIT(A49,"" "")"),0.208333333333333)</f>
        <v>0.20833333333333301</v>
      </c>
      <c r="C49" s="3">
        <f ca="1">IFERROR(__xludf.DUMMYFUNCTION("""COMPUTED_VALUE"""),0.2125)</f>
        <v>0.21249999999999999</v>
      </c>
      <c r="D49" s="3">
        <f ca="1">IFERROR(__xludf.DUMMYFUNCTION("""COMPUTED_VALUE"""),0.219444444444444)</f>
        <v>0.219444444444444</v>
      </c>
      <c r="E49" s="3">
        <f ca="1">IFERROR(__xludf.DUMMYFUNCTION("""COMPUTED_VALUE"""),0.227083333333333)</f>
        <v>0.227083333333333</v>
      </c>
      <c r="F49" s="3">
        <f ca="1">IFERROR(__xludf.DUMMYFUNCTION("""COMPUTED_VALUE"""),0.234027777777777)</f>
        <v>0.234027777777777</v>
      </c>
      <c r="G49" s="3">
        <f ca="1">IFERROR(__xludf.DUMMYFUNCTION("""COMPUTED_VALUE"""),0.240972222222222)</f>
        <v>0.240972222222222</v>
      </c>
      <c r="H49" s="3">
        <f ca="1">IFERROR(__xludf.DUMMYFUNCTION("""COMPUTED_VALUE"""),0.25)</f>
        <v>0.25</v>
      </c>
      <c r="I49" s="3">
        <f ca="1">IFERROR(__xludf.DUMMYFUNCTION("""COMPUTED_VALUE"""),0.254861111111111)</f>
        <v>0.25486111111111098</v>
      </c>
      <c r="J49" s="3">
        <f ca="1">IFERROR(__xludf.DUMMYFUNCTION("""COMPUTED_VALUE"""),0.260416666666666)</f>
        <v>0.26041666666666602</v>
      </c>
      <c r="K49" s="3">
        <f ca="1">IFERROR(__xludf.DUMMYFUNCTION("""COMPUTED_VALUE"""),0.266666666666666)</f>
        <v>0.266666666666666</v>
      </c>
      <c r="M49" s="3">
        <f t="shared" ref="M49:V49" ca="1" si="22">B49+0.5</f>
        <v>0.70833333333333304</v>
      </c>
      <c r="N49" s="3">
        <f t="shared" ca="1" si="22"/>
        <v>0.71250000000000002</v>
      </c>
      <c r="O49" s="3">
        <f t="shared" ca="1" si="22"/>
        <v>0.719444444444444</v>
      </c>
      <c r="P49" s="3">
        <f t="shared" ca="1" si="22"/>
        <v>0.72708333333333297</v>
      </c>
      <c r="Q49" s="3">
        <f t="shared" ca="1" si="22"/>
        <v>0.73402777777777706</v>
      </c>
      <c r="R49" s="3">
        <f t="shared" ca="1" si="22"/>
        <v>0.74097222222222203</v>
      </c>
      <c r="S49" s="3">
        <f t="shared" ca="1" si="22"/>
        <v>0.75</v>
      </c>
      <c r="T49" s="3">
        <f t="shared" ca="1" si="22"/>
        <v>0.75486111111111098</v>
      </c>
      <c r="U49" s="3">
        <f t="shared" ca="1" si="22"/>
        <v>0.76041666666666607</v>
      </c>
      <c r="V49" s="3">
        <f t="shared" ca="1" si="22"/>
        <v>0.76666666666666594</v>
      </c>
      <c r="W49" s="4">
        <f t="shared" ca="1" si="0"/>
        <v>5.8333333333332904E-2</v>
      </c>
    </row>
    <row r="50" spans="1:23" ht="15.75" customHeight="1" x14ac:dyDescent="0.15">
      <c r="A50" s="2" t="s">
        <v>132</v>
      </c>
      <c r="B50" s="3">
        <f ca="1">IFERROR(__xludf.DUMMYFUNCTION("SPLIT(A50,"" "")"),0.21875)</f>
        <v>0.21875</v>
      </c>
      <c r="C50" s="3">
        <f ca="1">IFERROR(__xludf.DUMMYFUNCTION("""COMPUTED_VALUE"""),0.222916666666666)</f>
        <v>0.22291666666666601</v>
      </c>
      <c r="D50" s="3">
        <f ca="1">IFERROR(__xludf.DUMMYFUNCTION("""COMPUTED_VALUE"""),0.229861111111111)</f>
        <v>0.22986111111111099</v>
      </c>
      <c r="E50" s="3">
        <f ca="1">IFERROR(__xludf.DUMMYFUNCTION("""COMPUTED_VALUE"""),0.2375)</f>
        <v>0.23749999999999999</v>
      </c>
      <c r="F50" s="3">
        <f ca="1">IFERROR(__xludf.DUMMYFUNCTION("""COMPUTED_VALUE"""),0.244444444444444)</f>
        <v>0.24444444444444399</v>
      </c>
      <c r="G50" s="3">
        <f ca="1">IFERROR(__xludf.DUMMYFUNCTION("""COMPUTED_VALUE"""),0.251388888888888)</f>
        <v>0.251388888888888</v>
      </c>
      <c r="H50" s="3">
        <f ca="1">IFERROR(__xludf.DUMMYFUNCTION("""COMPUTED_VALUE"""),0.260416666666666)</f>
        <v>0.26041666666666602</v>
      </c>
      <c r="I50" s="3">
        <f ca="1">IFERROR(__xludf.DUMMYFUNCTION("""COMPUTED_VALUE"""),0.265277777777777)</f>
        <v>0.265277777777777</v>
      </c>
      <c r="J50" s="3">
        <f ca="1">IFERROR(__xludf.DUMMYFUNCTION("""COMPUTED_VALUE"""),0.270833333333333)</f>
        <v>0.27083333333333298</v>
      </c>
      <c r="K50" s="3">
        <f ca="1">IFERROR(__xludf.DUMMYFUNCTION("""COMPUTED_VALUE"""),0.277083333333333)</f>
        <v>0.27708333333333302</v>
      </c>
      <c r="M50" s="3">
        <f t="shared" ref="M50:V50" ca="1" si="23">B50+0.5</f>
        <v>0.71875</v>
      </c>
      <c r="N50" s="3">
        <f t="shared" ca="1" si="23"/>
        <v>0.72291666666666599</v>
      </c>
      <c r="O50" s="3">
        <f t="shared" ca="1" si="23"/>
        <v>0.72986111111111096</v>
      </c>
      <c r="P50" s="3">
        <f t="shared" ca="1" si="23"/>
        <v>0.73750000000000004</v>
      </c>
      <c r="Q50" s="3">
        <f t="shared" ca="1" si="23"/>
        <v>0.74444444444444402</v>
      </c>
      <c r="R50" s="3">
        <f t="shared" ca="1" si="23"/>
        <v>0.751388888888888</v>
      </c>
      <c r="S50" s="3">
        <f t="shared" ca="1" si="23"/>
        <v>0.76041666666666607</v>
      </c>
      <c r="T50" s="3">
        <f t="shared" ca="1" si="23"/>
        <v>0.76527777777777706</v>
      </c>
      <c r="U50" s="3">
        <f t="shared" ca="1" si="23"/>
        <v>0.77083333333333304</v>
      </c>
      <c r="V50" s="3">
        <f t="shared" ca="1" si="23"/>
        <v>0.77708333333333302</v>
      </c>
      <c r="W50" s="4">
        <f t="shared" ca="1" si="0"/>
        <v>5.8333333333333015E-2</v>
      </c>
    </row>
    <row r="51" spans="1:23" ht="15.75" customHeight="1" x14ac:dyDescent="0.15">
      <c r="A51" s="2" t="s">
        <v>133</v>
      </c>
      <c r="B51" s="3">
        <f ca="1">IFERROR(__xludf.DUMMYFUNCTION("SPLIT(A51,"" "")"),0.229166666666666)</f>
        <v>0.22916666666666599</v>
      </c>
      <c r="C51" s="3">
        <f ca="1">IFERROR(__xludf.DUMMYFUNCTION("""COMPUTED_VALUE"""),0.233333333333333)</f>
        <v>0.233333333333333</v>
      </c>
      <c r="D51" s="3">
        <f ca="1">IFERROR(__xludf.DUMMYFUNCTION("""COMPUTED_VALUE"""),0.240277777777777)</f>
        <v>0.24027777777777701</v>
      </c>
      <c r="E51" s="3">
        <f ca="1">IFERROR(__xludf.DUMMYFUNCTION("""COMPUTED_VALUE"""),0.247916666666666)</f>
        <v>0.24791666666666601</v>
      </c>
      <c r="F51" s="3">
        <f ca="1">IFERROR(__xludf.DUMMYFUNCTION("""COMPUTED_VALUE"""),0.254861111111111)</f>
        <v>0.25486111111111098</v>
      </c>
      <c r="G51" s="3">
        <f ca="1">IFERROR(__xludf.DUMMYFUNCTION("""COMPUTED_VALUE"""),0.261805555555555)</f>
        <v>0.26180555555555501</v>
      </c>
      <c r="H51" s="3">
        <f ca="1">IFERROR(__xludf.DUMMYFUNCTION("""COMPUTED_VALUE"""),0.270833333333333)</f>
        <v>0.27083333333333298</v>
      </c>
      <c r="I51" s="3">
        <f ca="1">IFERROR(__xludf.DUMMYFUNCTION("""COMPUTED_VALUE"""),0.275694444444444)</f>
        <v>0.27569444444444402</v>
      </c>
      <c r="J51" s="3">
        <f ca="1">IFERROR(__xludf.DUMMYFUNCTION("""COMPUTED_VALUE"""),0.28125)</f>
        <v>0.28125</v>
      </c>
      <c r="K51" s="3">
        <f ca="1">IFERROR(__xludf.DUMMYFUNCTION("""COMPUTED_VALUE"""),0.2875)</f>
        <v>0.28749999999999998</v>
      </c>
      <c r="M51" s="3">
        <f t="shared" ref="M51:V51" ca="1" si="24">B51+0.5</f>
        <v>0.72916666666666596</v>
      </c>
      <c r="N51" s="3">
        <f t="shared" ca="1" si="24"/>
        <v>0.73333333333333295</v>
      </c>
      <c r="O51" s="3">
        <f t="shared" ca="1" si="24"/>
        <v>0.74027777777777704</v>
      </c>
      <c r="P51" s="3">
        <f t="shared" ca="1" si="24"/>
        <v>0.74791666666666601</v>
      </c>
      <c r="Q51" s="3">
        <f t="shared" ca="1" si="24"/>
        <v>0.75486111111111098</v>
      </c>
      <c r="R51" s="3">
        <f t="shared" ca="1" si="24"/>
        <v>0.76180555555555496</v>
      </c>
      <c r="S51" s="3">
        <f t="shared" ca="1" si="24"/>
        <v>0.77083333333333304</v>
      </c>
      <c r="T51" s="3">
        <f t="shared" ca="1" si="24"/>
        <v>0.77569444444444402</v>
      </c>
      <c r="U51" s="3">
        <f t="shared" ca="1" si="24"/>
        <v>0.78125</v>
      </c>
      <c r="V51" s="3">
        <f t="shared" ca="1" si="24"/>
        <v>0.78749999999999998</v>
      </c>
      <c r="W51" s="4">
        <f t="shared" ca="1" si="0"/>
        <v>5.8333333333334014E-2</v>
      </c>
    </row>
    <row r="52" spans="1:23" ht="15.75" customHeight="1" x14ac:dyDescent="0.15">
      <c r="A52" s="2" t="s">
        <v>134</v>
      </c>
      <c r="B52" s="3">
        <f ca="1">IFERROR(__xludf.DUMMYFUNCTION("SPLIT(A52,"" "")"),0.239583333333333)</f>
        <v>0.23958333333333301</v>
      </c>
      <c r="C52" s="3">
        <f ca="1">IFERROR(__xludf.DUMMYFUNCTION("""COMPUTED_VALUE"""),0.24375)</f>
        <v>0.24374999999999999</v>
      </c>
      <c r="D52" s="3">
        <f ca="1">IFERROR(__xludf.DUMMYFUNCTION("""COMPUTED_VALUE"""),0.250694444444444)</f>
        <v>0.250694444444444</v>
      </c>
      <c r="E52" s="3">
        <f ca="1">IFERROR(__xludf.DUMMYFUNCTION("""COMPUTED_VALUE"""),0.258333333333333)</f>
        <v>0.25833333333333303</v>
      </c>
      <c r="F52" s="3">
        <f ca="1">IFERROR(__xludf.DUMMYFUNCTION("""COMPUTED_VALUE"""),0.265277777777777)</f>
        <v>0.265277777777777</v>
      </c>
      <c r="G52" s="3">
        <f ca="1">IFERROR(__xludf.DUMMYFUNCTION("""COMPUTED_VALUE"""),0.272222222222222)</f>
        <v>0.27222222222222198</v>
      </c>
      <c r="H52" s="3">
        <f ca="1">IFERROR(__xludf.DUMMYFUNCTION("""COMPUTED_VALUE"""),0.28125)</f>
        <v>0.28125</v>
      </c>
      <c r="I52" s="3">
        <f ca="1">IFERROR(__xludf.DUMMYFUNCTION("""COMPUTED_VALUE"""),0.286111111111111)</f>
        <v>0.28611111111111098</v>
      </c>
      <c r="J52" s="3">
        <f ca="1">IFERROR(__xludf.DUMMYFUNCTION("""COMPUTED_VALUE"""),0.291666666666666)</f>
        <v>0.29166666666666602</v>
      </c>
      <c r="K52" s="3">
        <f ca="1">IFERROR(__xludf.DUMMYFUNCTION("""COMPUTED_VALUE"""),0.297916666666666)</f>
        <v>0.297916666666666</v>
      </c>
      <c r="M52" s="3">
        <f t="shared" ref="M52:V52" ca="1" si="25">B52+0.5</f>
        <v>0.73958333333333304</v>
      </c>
      <c r="N52" s="3">
        <f t="shared" ca="1" si="25"/>
        <v>0.74375000000000002</v>
      </c>
      <c r="O52" s="3">
        <f t="shared" ca="1" si="25"/>
        <v>0.750694444444444</v>
      </c>
      <c r="P52" s="3">
        <f t="shared" ca="1" si="25"/>
        <v>0.75833333333333308</v>
      </c>
      <c r="Q52" s="3">
        <f t="shared" ca="1" si="25"/>
        <v>0.76527777777777706</v>
      </c>
      <c r="R52" s="3">
        <f t="shared" ca="1" si="25"/>
        <v>0.77222222222222192</v>
      </c>
      <c r="S52" s="3">
        <f t="shared" ca="1" si="25"/>
        <v>0.78125</v>
      </c>
      <c r="T52" s="3">
        <f t="shared" ca="1" si="25"/>
        <v>0.78611111111111098</v>
      </c>
      <c r="U52" s="3">
        <f t="shared" ca="1" si="25"/>
        <v>0.79166666666666607</v>
      </c>
      <c r="V52" s="3">
        <f t="shared" ca="1" si="25"/>
        <v>0.79791666666666594</v>
      </c>
      <c r="W52" s="4">
        <f t="shared" ca="1" si="0"/>
        <v>5.8333333333332904E-2</v>
      </c>
    </row>
    <row r="53" spans="1:23" ht="13" x14ac:dyDescent="0.15">
      <c r="A53" s="2" t="s">
        <v>135</v>
      </c>
      <c r="B53" s="3">
        <f ca="1">IFERROR(__xludf.DUMMYFUNCTION("SPLIT(A53,"" "")"),0.25)</f>
        <v>0.25</v>
      </c>
      <c r="C53" s="3">
        <f ca="1">IFERROR(__xludf.DUMMYFUNCTION("""COMPUTED_VALUE"""),0.254166666666666)</f>
        <v>0.25416666666666599</v>
      </c>
      <c r="D53" s="3">
        <f ca="1">IFERROR(__xludf.DUMMYFUNCTION("""COMPUTED_VALUE"""),0.261111111111111)</f>
        <v>0.26111111111111102</v>
      </c>
      <c r="E53" s="3">
        <f ca="1">IFERROR(__xludf.DUMMYFUNCTION("""COMPUTED_VALUE"""),0.26875)</f>
        <v>0.26874999999999999</v>
      </c>
      <c r="F53" s="3">
        <f ca="1">IFERROR(__xludf.DUMMYFUNCTION("""COMPUTED_VALUE"""),0.275694444444444)</f>
        <v>0.27569444444444402</v>
      </c>
      <c r="G53" s="3">
        <f ca="1">IFERROR(__xludf.DUMMYFUNCTION("""COMPUTED_VALUE"""),0.282638888888888)</f>
        <v>0.282638888888888</v>
      </c>
      <c r="H53" s="3">
        <f ca="1">IFERROR(__xludf.DUMMYFUNCTION("""COMPUTED_VALUE"""),0.291666666666666)</f>
        <v>0.29166666666666602</v>
      </c>
      <c r="I53" s="3">
        <f ca="1">IFERROR(__xludf.DUMMYFUNCTION("""COMPUTED_VALUE"""),0.296527777777777)</f>
        <v>0.296527777777777</v>
      </c>
      <c r="J53" s="3">
        <f ca="1">IFERROR(__xludf.DUMMYFUNCTION("""COMPUTED_VALUE"""),0.302083333333333)</f>
        <v>0.30208333333333298</v>
      </c>
      <c r="K53" s="3">
        <f ca="1">IFERROR(__xludf.DUMMYFUNCTION("""COMPUTED_VALUE"""),0.308333333333333)</f>
        <v>0.30833333333333302</v>
      </c>
      <c r="M53" s="3">
        <f t="shared" ref="M53:V53" ca="1" si="26">B53+0.5</f>
        <v>0.75</v>
      </c>
      <c r="N53" s="3">
        <f t="shared" ca="1" si="26"/>
        <v>0.75416666666666599</v>
      </c>
      <c r="O53" s="3">
        <f t="shared" ca="1" si="26"/>
        <v>0.76111111111111107</v>
      </c>
      <c r="P53" s="3">
        <f t="shared" ca="1" si="26"/>
        <v>0.76875000000000004</v>
      </c>
      <c r="Q53" s="3">
        <f t="shared" ca="1" si="26"/>
        <v>0.77569444444444402</v>
      </c>
      <c r="R53" s="3">
        <f t="shared" ca="1" si="26"/>
        <v>0.782638888888888</v>
      </c>
      <c r="S53" s="3">
        <f t="shared" ca="1" si="26"/>
        <v>0.79166666666666607</v>
      </c>
      <c r="T53" s="3">
        <f t="shared" ca="1" si="26"/>
        <v>0.79652777777777706</v>
      </c>
      <c r="U53" s="3">
        <f t="shared" ca="1" si="26"/>
        <v>0.80208333333333304</v>
      </c>
      <c r="V53" s="3">
        <f t="shared" ca="1" si="26"/>
        <v>0.80833333333333302</v>
      </c>
      <c r="W53" s="4">
        <f t="shared" ca="1" si="0"/>
        <v>5.8333333333333015E-2</v>
      </c>
    </row>
    <row r="54" spans="1:23" ht="13" x14ac:dyDescent="0.15">
      <c r="A54" s="2" t="s">
        <v>136</v>
      </c>
      <c r="B54" s="3">
        <f ca="1">IFERROR(__xludf.DUMMYFUNCTION("SPLIT(A54,"" "")"),0.260416666666666)</f>
        <v>0.26041666666666602</v>
      </c>
      <c r="C54" s="3">
        <f ca="1">IFERROR(__xludf.DUMMYFUNCTION("""COMPUTED_VALUE"""),0.264583333333333)</f>
        <v>0.264583333333333</v>
      </c>
      <c r="D54" s="3">
        <f ca="1">IFERROR(__xludf.DUMMYFUNCTION("""COMPUTED_VALUE"""),0.271527777777777)</f>
        <v>0.27152777777777698</v>
      </c>
      <c r="E54" s="3">
        <f ca="1">IFERROR(__xludf.DUMMYFUNCTION("""COMPUTED_VALUE"""),0.279166666666666)</f>
        <v>0.27916666666666601</v>
      </c>
      <c r="F54" s="3">
        <f ca="1">IFERROR(__xludf.DUMMYFUNCTION("""COMPUTED_VALUE"""),0.286111111111111)</f>
        <v>0.28611111111111098</v>
      </c>
      <c r="G54" s="3">
        <f ca="1">IFERROR(__xludf.DUMMYFUNCTION("""COMPUTED_VALUE"""),0.293055555555555)</f>
        <v>0.29305555555555501</v>
      </c>
      <c r="H54" s="3">
        <f ca="1">IFERROR(__xludf.DUMMYFUNCTION("""COMPUTED_VALUE"""),0.302083333333333)</f>
        <v>0.30208333333333298</v>
      </c>
      <c r="I54" s="3">
        <f ca="1">IFERROR(__xludf.DUMMYFUNCTION("""COMPUTED_VALUE"""),0.306944444444444)</f>
        <v>0.30694444444444402</v>
      </c>
      <c r="J54" s="3">
        <f ca="1">IFERROR(__xludf.DUMMYFUNCTION("""COMPUTED_VALUE"""),0.3125)</f>
        <v>0.3125</v>
      </c>
      <c r="K54" s="3">
        <f ca="1">IFERROR(__xludf.DUMMYFUNCTION("""COMPUTED_VALUE"""),0.31875)</f>
        <v>0.31874999999999998</v>
      </c>
      <c r="M54" s="3">
        <f t="shared" ref="M54:V54" ca="1" si="27">B54+0.5</f>
        <v>0.76041666666666607</v>
      </c>
      <c r="N54" s="3">
        <f t="shared" ca="1" si="27"/>
        <v>0.76458333333333295</v>
      </c>
      <c r="O54" s="3">
        <f t="shared" ca="1" si="27"/>
        <v>0.77152777777777692</v>
      </c>
      <c r="P54" s="3">
        <f t="shared" ca="1" si="27"/>
        <v>0.77916666666666601</v>
      </c>
      <c r="Q54" s="3">
        <f t="shared" ca="1" si="27"/>
        <v>0.78611111111111098</v>
      </c>
      <c r="R54" s="3">
        <f t="shared" ca="1" si="27"/>
        <v>0.79305555555555496</v>
      </c>
      <c r="S54" s="3">
        <f t="shared" ca="1" si="27"/>
        <v>0.80208333333333304</v>
      </c>
      <c r="T54" s="3">
        <f t="shared" ca="1" si="27"/>
        <v>0.80694444444444402</v>
      </c>
      <c r="U54" s="3">
        <f t="shared" ca="1" si="27"/>
        <v>0.8125</v>
      </c>
      <c r="V54" s="3">
        <f t="shared" ca="1" si="27"/>
        <v>0.81874999999999998</v>
      </c>
      <c r="W54" s="4">
        <f t="shared" ca="1" si="0"/>
        <v>5.8333333333333903E-2</v>
      </c>
    </row>
    <row r="55" spans="1:23" ht="13" x14ac:dyDescent="0.15">
      <c r="A55" s="2" t="s">
        <v>137</v>
      </c>
      <c r="B55" s="3">
        <f ca="1">IFERROR(__xludf.DUMMYFUNCTION("SPLIT(A55,"" "")"),0.270833333333333)</f>
        <v>0.27083333333333298</v>
      </c>
      <c r="C55" s="3">
        <f ca="1">IFERROR(__xludf.DUMMYFUNCTION("""COMPUTED_VALUE"""),0.275)</f>
        <v>0.27500000000000002</v>
      </c>
      <c r="D55" s="3">
        <f ca="1">IFERROR(__xludf.DUMMYFUNCTION("""COMPUTED_VALUE"""),0.281944444444444)</f>
        <v>0.281944444444444</v>
      </c>
      <c r="E55" s="3">
        <f ca="1">IFERROR(__xludf.DUMMYFUNCTION("""COMPUTED_VALUE"""),0.289583333333333)</f>
        <v>0.28958333333333303</v>
      </c>
      <c r="F55" s="3">
        <f ca="1">IFERROR(__xludf.DUMMYFUNCTION("""COMPUTED_VALUE"""),0.296527777777777)</f>
        <v>0.296527777777777</v>
      </c>
      <c r="G55" s="3">
        <f ca="1">IFERROR(__xludf.DUMMYFUNCTION("""COMPUTED_VALUE"""),0.303472222222222)</f>
        <v>0.30347222222222198</v>
      </c>
      <c r="H55" s="3">
        <f ca="1">IFERROR(__xludf.DUMMYFUNCTION("""COMPUTED_VALUE"""),0.3125)</f>
        <v>0.3125</v>
      </c>
      <c r="I55" s="3">
        <f ca="1">IFERROR(__xludf.DUMMYFUNCTION("""COMPUTED_VALUE"""),0.317361111111111)</f>
        <v>0.31736111111111098</v>
      </c>
      <c r="J55" s="3">
        <f ca="1">IFERROR(__xludf.DUMMYFUNCTION("""COMPUTED_VALUE"""),0.322916666666666)</f>
        <v>0.32291666666666602</v>
      </c>
      <c r="K55" s="3">
        <f ca="1">IFERROR(__xludf.DUMMYFUNCTION("""COMPUTED_VALUE"""),0.329166666666666)</f>
        <v>0.329166666666666</v>
      </c>
      <c r="M55" s="3">
        <f t="shared" ref="M55:V55" ca="1" si="28">B55+0.5</f>
        <v>0.77083333333333304</v>
      </c>
      <c r="N55" s="3">
        <f t="shared" ca="1" si="28"/>
        <v>0.77500000000000002</v>
      </c>
      <c r="O55" s="3">
        <f t="shared" ca="1" si="28"/>
        <v>0.781944444444444</v>
      </c>
      <c r="P55" s="3">
        <f t="shared" ca="1" si="28"/>
        <v>0.78958333333333308</v>
      </c>
      <c r="Q55" s="3">
        <f t="shared" ca="1" si="28"/>
        <v>0.79652777777777706</v>
      </c>
      <c r="R55" s="3">
        <f t="shared" ca="1" si="28"/>
        <v>0.80347222222222192</v>
      </c>
      <c r="S55" s="3">
        <f t="shared" ca="1" si="28"/>
        <v>0.8125</v>
      </c>
      <c r="T55" s="3">
        <f t="shared" ca="1" si="28"/>
        <v>0.81736111111111098</v>
      </c>
      <c r="U55" s="3">
        <f t="shared" ca="1" si="28"/>
        <v>0.82291666666666607</v>
      </c>
      <c r="V55" s="3">
        <f t="shared" ca="1" si="28"/>
        <v>0.82916666666666594</v>
      </c>
      <c r="W55" s="4">
        <f t="shared" ca="1" si="0"/>
        <v>5.8333333333332904E-2</v>
      </c>
    </row>
    <row r="56" spans="1:23" ht="13" x14ac:dyDescent="0.15">
      <c r="A56" s="2" t="s">
        <v>138</v>
      </c>
      <c r="B56" s="3">
        <f ca="1">IFERROR(__xludf.DUMMYFUNCTION("SPLIT(A56,"" "")"),0.28125)</f>
        <v>0.28125</v>
      </c>
      <c r="C56" s="3">
        <f ca="1">IFERROR(__xludf.DUMMYFUNCTION("""COMPUTED_VALUE"""),0.285416666666666)</f>
        <v>0.28541666666666599</v>
      </c>
      <c r="D56" s="3">
        <f ca="1">IFERROR(__xludf.DUMMYFUNCTION("""COMPUTED_VALUE"""),0.292361111111111)</f>
        <v>0.29236111111111102</v>
      </c>
      <c r="E56" s="3">
        <f ca="1">IFERROR(__xludf.DUMMYFUNCTION("""COMPUTED_VALUE"""),0.3)</f>
        <v>0.3</v>
      </c>
      <c r="F56" s="3">
        <f ca="1">IFERROR(__xludf.DUMMYFUNCTION("""COMPUTED_VALUE"""),0.306944444444444)</f>
        <v>0.30694444444444402</v>
      </c>
      <c r="G56" s="3">
        <f ca="1">IFERROR(__xludf.DUMMYFUNCTION("""COMPUTED_VALUE"""),0.313888888888888)</f>
        <v>0.313888888888888</v>
      </c>
      <c r="H56" s="3">
        <f ca="1">IFERROR(__xludf.DUMMYFUNCTION("""COMPUTED_VALUE"""),0.322916666666666)</f>
        <v>0.32291666666666602</v>
      </c>
      <c r="I56" s="3">
        <f ca="1">IFERROR(__xludf.DUMMYFUNCTION("""COMPUTED_VALUE"""),0.327777777777777)</f>
        <v>0.327777777777777</v>
      </c>
      <c r="J56" s="3">
        <f ca="1">IFERROR(__xludf.DUMMYFUNCTION("""COMPUTED_VALUE"""),0.333333333333333)</f>
        <v>0.33333333333333298</v>
      </c>
      <c r="K56" s="3">
        <f ca="1">IFERROR(__xludf.DUMMYFUNCTION("""COMPUTED_VALUE"""),0.339583333333333)</f>
        <v>0.33958333333333302</v>
      </c>
      <c r="M56" s="3">
        <f t="shared" ref="M56:V56" ca="1" si="29">B56+0.5</f>
        <v>0.78125</v>
      </c>
      <c r="N56" s="3">
        <f t="shared" ca="1" si="29"/>
        <v>0.78541666666666599</v>
      </c>
      <c r="O56" s="3">
        <f t="shared" ca="1" si="29"/>
        <v>0.79236111111111107</v>
      </c>
      <c r="P56" s="3">
        <f t="shared" ca="1" si="29"/>
        <v>0.8</v>
      </c>
      <c r="Q56" s="3">
        <f t="shared" ca="1" si="29"/>
        <v>0.80694444444444402</v>
      </c>
      <c r="R56" s="3">
        <f t="shared" ca="1" si="29"/>
        <v>0.813888888888888</v>
      </c>
      <c r="S56" s="3">
        <f t="shared" ca="1" si="29"/>
        <v>0.82291666666666607</v>
      </c>
      <c r="T56" s="3">
        <f t="shared" ca="1" si="29"/>
        <v>0.82777777777777706</v>
      </c>
      <c r="U56" s="3">
        <f t="shared" ca="1" si="29"/>
        <v>0.83333333333333304</v>
      </c>
      <c r="V56" s="3">
        <f t="shared" ca="1" si="29"/>
        <v>0.83958333333333302</v>
      </c>
      <c r="W56" s="4">
        <f t="shared" ca="1" si="0"/>
        <v>5.8333333333333015E-2</v>
      </c>
    </row>
    <row r="57" spans="1:23" ht="13" x14ac:dyDescent="0.15">
      <c r="A57" s="2" t="s">
        <v>139</v>
      </c>
      <c r="B57" s="3">
        <f ca="1">IFERROR(__xludf.DUMMYFUNCTION("SPLIT(A57,"" "")"),0.291666666666666)</f>
        <v>0.29166666666666602</v>
      </c>
      <c r="C57" s="3">
        <f ca="1">IFERROR(__xludf.DUMMYFUNCTION("""COMPUTED_VALUE"""),0.295833333333333)</f>
        <v>0.295833333333333</v>
      </c>
      <c r="D57" s="3">
        <f ca="1">IFERROR(__xludf.DUMMYFUNCTION("""COMPUTED_VALUE"""),0.302777777777777)</f>
        <v>0.30277777777777698</v>
      </c>
      <c r="E57" s="3">
        <f ca="1">IFERROR(__xludf.DUMMYFUNCTION("""COMPUTED_VALUE"""),0.310416666666666)</f>
        <v>0.31041666666666601</v>
      </c>
      <c r="F57" s="3">
        <f ca="1">IFERROR(__xludf.DUMMYFUNCTION("""COMPUTED_VALUE"""),0.317361111111111)</f>
        <v>0.31736111111111098</v>
      </c>
      <c r="G57" s="3">
        <f ca="1">IFERROR(__xludf.DUMMYFUNCTION("""COMPUTED_VALUE"""),0.324305555555555)</f>
        <v>0.32430555555555501</v>
      </c>
      <c r="H57" s="3">
        <f ca="1">IFERROR(__xludf.DUMMYFUNCTION("""COMPUTED_VALUE"""),0.333333333333333)</f>
        <v>0.33333333333333298</v>
      </c>
      <c r="I57" s="3">
        <f ca="1">IFERROR(__xludf.DUMMYFUNCTION("""COMPUTED_VALUE"""),0.338194444444444)</f>
        <v>0.33819444444444402</v>
      </c>
      <c r="J57" s="3">
        <f ca="1">IFERROR(__xludf.DUMMYFUNCTION("""COMPUTED_VALUE"""),0.34375)</f>
        <v>0.34375</v>
      </c>
      <c r="K57" s="3">
        <f ca="1">IFERROR(__xludf.DUMMYFUNCTION("""COMPUTED_VALUE"""),0.35)</f>
        <v>0.35</v>
      </c>
      <c r="M57" s="3">
        <f t="shared" ref="M57:V57" ca="1" si="30">B57+0.5</f>
        <v>0.79166666666666607</v>
      </c>
      <c r="N57" s="3">
        <f t="shared" ca="1" si="30"/>
        <v>0.79583333333333295</v>
      </c>
      <c r="O57" s="3">
        <f t="shared" ca="1" si="30"/>
        <v>0.80277777777777692</v>
      </c>
      <c r="P57" s="3">
        <f t="shared" ca="1" si="30"/>
        <v>0.81041666666666601</v>
      </c>
      <c r="Q57" s="3">
        <f t="shared" ca="1" si="30"/>
        <v>0.81736111111111098</v>
      </c>
      <c r="R57" s="3">
        <f t="shared" ca="1" si="30"/>
        <v>0.82430555555555496</v>
      </c>
      <c r="S57" s="3">
        <f t="shared" ca="1" si="30"/>
        <v>0.83333333333333304</v>
      </c>
      <c r="T57" s="3">
        <f t="shared" ca="1" si="30"/>
        <v>0.83819444444444402</v>
      </c>
      <c r="U57" s="3">
        <f t="shared" ca="1" si="30"/>
        <v>0.84375</v>
      </c>
      <c r="V57" s="3">
        <f t="shared" ca="1" si="30"/>
        <v>0.85</v>
      </c>
      <c r="W57" s="4">
        <f t="shared" ca="1" si="0"/>
        <v>5.8333333333333903E-2</v>
      </c>
    </row>
    <row r="58" spans="1:23" ht="13" x14ac:dyDescent="0.15">
      <c r="A58" s="2" t="s">
        <v>140</v>
      </c>
      <c r="B58" s="3">
        <f ca="1">IFERROR(__xludf.DUMMYFUNCTION("SPLIT(A58,"" "")"),0.302083333333333)</f>
        <v>0.30208333333333298</v>
      </c>
      <c r="C58" s="3">
        <f ca="1">IFERROR(__xludf.DUMMYFUNCTION("""COMPUTED_VALUE"""),0.30625)</f>
        <v>0.30625000000000002</v>
      </c>
      <c r="D58" s="3">
        <f ca="1">IFERROR(__xludf.DUMMYFUNCTION("""COMPUTED_VALUE"""),0.313194444444444)</f>
        <v>0.313194444444444</v>
      </c>
      <c r="E58" s="3">
        <f ca="1">IFERROR(__xludf.DUMMYFUNCTION("""COMPUTED_VALUE"""),0.320833333333333)</f>
        <v>0.32083333333333303</v>
      </c>
      <c r="F58" s="3">
        <f ca="1">IFERROR(__xludf.DUMMYFUNCTION("""COMPUTED_VALUE"""),0.327777777777777)</f>
        <v>0.327777777777777</v>
      </c>
      <c r="G58" s="3">
        <f ca="1">IFERROR(__xludf.DUMMYFUNCTION("""COMPUTED_VALUE"""),0.334722222222222)</f>
        <v>0.33472222222222198</v>
      </c>
      <c r="H58" s="3">
        <f ca="1">IFERROR(__xludf.DUMMYFUNCTION("""COMPUTED_VALUE"""),0.34375)</f>
        <v>0.34375</v>
      </c>
      <c r="I58" s="3">
        <f ca="1">IFERROR(__xludf.DUMMYFUNCTION("""COMPUTED_VALUE"""),0.348611111111111)</f>
        <v>0.34861111111111098</v>
      </c>
      <c r="J58" s="3">
        <f ca="1">IFERROR(__xludf.DUMMYFUNCTION("""COMPUTED_VALUE"""),0.354166666666666)</f>
        <v>0.35416666666666602</v>
      </c>
      <c r="K58" s="3">
        <f ca="1">IFERROR(__xludf.DUMMYFUNCTION("""COMPUTED_VALUE"""),0.360416666666666)</f>
        <v>0.360416666666666</v>
      </c>
      <c r="M58" s="3">
        <f t="shared" ref="M58:V58" ca="1" si="31">B58+0.5</f>
        <v>0.80208333333333304</v>
      </c>
      <c r="N58" s="3">
        <f t="shared" ca="1" si="31"/>
        <v>0.80625000000000002</v>
      </c>
      <c r="O58" s="3">
        <f t="shared" ca="1" si="31"/>
        <v>0.813194444444444</v>
      </c>
      <c r="P58" s="3">
        <f t="shared" ca="1" si="31"/>
        <v>0.82083333333333308</v>
      </c>
      <c r="Q58" s="3">
        <f t="shared" ca="1" si="31"/>
        <v>0.82777777777777706</v>
      </c>
      <c r="R58" s="3">
        <f t="shared" ca="1" si="31"/>
        <v>0.83472222222222192</v>
      </c>
      <c r="S58" s="3">
        <f t="shared" ca="1" si="31"/>
        <v>0.84375</v>
      </c>
      <c r="T58" s="3">
        <f t="shared" ca="1" si="31"/>
        <v>0.84861111111111098</v>
      </c>
      <c r="U58" s="3">
        <f t="shared" ca="1" si="31"/>
        <v>0.85416666666666607</v>
      </c>
      <c r="V58" s="3">
        <f t="shared" ca="1" si="31"/>
        <v>0.86041666666666594</v>
      </c>
      <c r="W58" s="4">
        <f t="shared" ca="1" si="0"/>
        <v>5.8333333333332904E-2</v>
      </c>
    </row>
    <row r="59" spans="1:23" ht="13" x14ac:dyDescent="0.15">
      <c r="A59" s="2" t="s">
        <v>141</v>
      </c>
      <c r="B59" s="3">
        <f ca="1">IFERROR(__xludf.DUMMYFUNCTION("SPLIT(A59,"" "")"),0.3125)</f>
        <v>0.3125</v>
      </c>
      <c r="C59" s="3">
        <f ca="1">IFERROR(__xludf.DUMMYFUNCTION("""COMPUTED_VALUE"""),0.316666666666666)</f>
        <v>0.31666666666666599</v>
      </c>
      <c r="D59" s="3">
        <f ca="1">IFERROR(__xludf.DUMMYFUNCTION("""COMPUTED_VALUE"""),0.323611111111111)</f>
        <v>0.32361111111111102</v>
      </c>
      <c r="E59" s="3">
        <f ca="1">IFERROR(__xludf.DUMMYFUNCTION("""COMPUTED_VALUE"""),0.33125)</f>
        <v>0.33124999999999999</v>
      </c>
      <c r="F59" s="3">
        <f ca="1">IFERROR(__xludf.DUMMYFUNCTION("""COMPUTED_VALUE"""),0.338194444444444)</f>
        <v>0.33819444444444402</v>
      </c>
      <c r="G59" s="3">
        <f ca="1">IFERROR(__xludf.DUMMYFUNCTION("""COMPUTED_VALUE"""),0.345138888888888)</f>
        <v>0.345138888888888</v>
      </c>
      <c r="H59" s="3">
        <f ca="1">IFERROR(__xludf.DUMMYFUNCTION("""COMPUTED_VALUE"""),0.354166666666666)</f>
        <v>0.35416666666666602</v>
      </c>
      <c r="I59" s="3">
        <f ca="1">IFERROR(__xludf.DUMMYFUNCTION("""COMPUTED_VALUE"""),0.359027777777777)</f>
        <v>0.359027777777777</v>
      </c>
      <c r="J59" s="3">
        <f ca="1">IFERROR(__xludf.DUMMYFUNCTION("""COMPUTED_VALUE"""),0.364583333333333)</f>
        <v>0.36458333333333298</v>
      </c>
      <c r="K59" s="3">
        <f ca="1">IFERROR(__xludf.DUMMYFUNCTION("""COMPUTED_VALUE"""),0.370833333333333)</f>
        <v>0.37083333333333302</v>
      </c>
      <c r="M59" s="3">
        <f t="shared" ref="M59:V59" ca="1" si="32">B59+0.5</f>
        <v>0.8125</v>
      </c>
      <c r="N59" s="3">
        <f t="shared" ca="1" si="32"/>
        <v>0.81666666666666599</v>
      </c>
      <c r="O59" s="3">
        <f t="shared" ca="1" si="32"/>
        <v>0.82361111111111107</v>
      </c>
      <c r="P59" s="3">
        <f t="shared" ca="1" si="32"/>
        <v>0.83125000000000004</v>
      </c>
      <c r="Q59" s="3">
        <f t="shared" ca="1" si="32"/>
        <v>0.83819444444444402</v>
      </c>
      <c r="R59" s="3">
        <f t="shared" ca="1" si="32"/>
        <v>0.845138888888888</v>
      </c>
      <c r="S59" s="3">
        <f t="shared" ca="1" si="32"/>
        <v>0.85416666666666607</v>
      </c>
      <c r="T59" s="3">
        <f t="shared" ca="1" si="32"/>
        <v>0.85902777777777706</v>
      </c>
      <c r="U59" s="3">
        <f t="shared" ca="1" si="32"/>
        <v>0.86458333333333304</v>
      </c>
      <c r="V59" s="3">
        <f t="shared" ca="1" si="32"/>
        <v>0.87083333333333302</v>
      </c>
      <c r="W59" s="4">
        <f t="shared" ca="1" si="0"/>
        <v>5.8333333333333015E-2</v>
      </c>
    </row>
    <row r="60" spans="1:23" ht="13" x14ac:dyDescent="0.15">
      <c r="A60" s="2" t="s">
        <v>94</v>
      </c>
      <c r="B60" s="3">
        <f ca="1">IFERROR(__xludf.DUMMYFUNCTION("SPLIT(A60,"" "")"),0.322916666666666)</f>
        <v>0.32291666666666602</v>
      </c>
      <c r="C60" s="3">
        <f ca="1">IFERROR(__xludf.DUMMYFUNCTION("""COMPUTED_VALUE"""),0.327083333333333)</f>
        <v>0.327083333333333</v>
      </c>
      <c r="D60" s="3">
        <f ca="1">IFERROR(__xludf.DUMMYFUNCTION("""COMPUTED_VALUE"""),0.334027777777777)</f>
        <v>0.33402777777777698</v>
      </c>
      <c r="E60" s="3">
        <f ca="1">IFERROR(__xludf.DUMMYFUNCTION("""COMPUTED_VALUE"""),0.341666666666666)</f>
        <v>0.34166666666666601</v>
      </c>
      <c r="F60" s="3">
        <f ca="1">IFERROR(__xludf.DUMMYFUNCTION("""COMPUTED_VALUE"""),0.348611111111111)</f>
        <v>0.34861111111111098</v>
      </c>
      <c r="G60" s="3">
        <f ca="1">IFERROR(__xludf.DUMMYFUNCTION("""COMPUTED_VALUE"""),0.355555555555555)</f>
        <v>0.35555555555555501</v>
      </c>
      <c r="H60" s="3">
        <f ca="1">IFERROR(__xludf.DUMMYFUNCTION("""COMPUTED_VALUE"""),0.364583333333333)</f>
        <v>0.36458333333333298</v>
      </c>
      <c r="I60" s="3">
        <f ca="1">IFERROR(__xludf.DUMMYFUNCTION("""COMPUTED_VALUE"""),0.369444444444444)</f>
        <v>0.36944444444444402</v>
      </c>
      <c r="J60" s="3">
        <f ca="1">IFERROR(__xludf.DUMMYFUNCTION("""COMPUTED_VALUE"""),0.375)</f>
        <v>0.375</v>
      </c>
      <c r="K60" s="3">
        <f ca="1">IFERROR(__xludf.DUMMYFUNCTION("""COMPUTED_VALUE"""),0.38125)</f>
        <v>0.38124999999999998</v>
      </c>
      <c r="M60" s="3">
        <f t="shared" ref="M60:V60" ca="1" si="33">B60+0.5</f>
        <v>0.82291666666666607</v>
      </c>
      <c r="N60" s="3">
        <f t="shared" ca="1" si="33"/>
        <v>0.82708333333333295</v>
      </c>
      <c r="O60" s="3">
        <f t="shared" ca="1" si="33"/>
        <v>0.83402777777777692</v>
      </c>
      <c r="P60" s="3">
        <f t="shared" ca="1" si="33"/>
        <v>0.84166666666666601</v>
      </c>
      <c r="Q60" s="3">
        <f t="shared" ca="1" si="33"/>
        <v>0.84861111111111098</v>
      </c>
      <c r="R60" s="3">
        <f t="shared" ca="1" si="33"/>
        <v>0.85555555555555496</v>
      </c>
      <c r="S60" s="3">
        <f t="shared" ca="1" si="33"/>
        <v>0.86458333333333304</v>
      </c>
      <c r="T60" s="3">
        <f t="shared" ca="1" si="33"/>
        <v>0.86944444444444402</v>
      </c>
      <c r="U60" s="3">
        <f t="shared" ca="1" si="33"/>
        <v>0.875</v>
      </c>
      <c r="V60" s="3">
        <f t="shared" ca="1" si="33"/>
        <v>0.88124999999999998</v>
      </c>
      <c r="W60" s="4">
        <f t="shared" ca="1" si="0"/>
        <v>5.8333333333333903E-2</v>
      </c>
    </row>
    <row r="61" spans="1:23" ht="13" x14ac:dyDescent="0.15">
      <c r="A61" s="2" t="s">
        <v>142</v>
      </c>
      <c r="B61" s="3">
        <f ca="1">IFERROR(__xludf.DUMMYFUNCTION("SPLIT(A61,"" "")"),0.333333333333333)</f>
        <v>0.33333333333333298</v>
      </c>
      <c r="C61" s="3">
        <f ca="1">IFERROR(__xludf.DUMMYFUNCTION("""COMPUTED_VALUE"""),0.3375)</f>
        <v>0.33750000000000002</v>
      </c>
      <c r="D61" s="3">
        <f ca="1">IFERROR(__xludf.DUMMYFUNCTION("""COMPUTED_VALUE"""),0.34375)</f>
        <v>0.34375</v>
      </c>
      <c r="E61" s="3">
        <f ca="1">IFERROR(__xludf.DUMMYFUNCTION("""COMPUTED_VALUE"""),0.350694444444444)</f>
        <v>0.35069444444444398</v>
      </c>
      <c r="F61" s="3">
        <f ca="1">IFERROR(__xludf.DUMMYFUNCTION("""COMPUTED_VALUE"""),0.35625)</f>
        <v>0.35625000000000001</v>
      </c>
      <c r="G61" s="3">
        <f ca="1">IFERROR(__xludf.DUMMYFUNCTION("""COMPUTED_VALUE"""),0.3625)</f>
        <v>0.36249999999999999</v>
      </c>
      <c r="H61" s="3">
        <f ca="1">IFERROR(__xludf.DUMMYFUNCTION("""COMPUTED_VALUE"""),0.370833333333333)</f>
        <v>0.37083333333333302</v>
      </c>
      <c r="I61" s="3">
        <f ca="1">IFERROR(__xludf.DUMMYFUNCTION("""COMPUTED_VALUE"""),0.375694444444444)</f>
        <v>0.375694444444444</v>
      </c>
      <c r="J61" s="3">
        <f ca="1">IFERROR(__xludf.DUMMYFUNCTION("""COMPUTED_VALUE"""),0.38125)</f>
        <v>0.38124999999999998</v>
      </c>
      <c r="K61" s="3">
        <f ca="1">IFERROR(__xludf.DUMMYFUNCTION("""COMPUTED_VALUE"""),0.3875)</f>
        <v>0.38750000000000001</v>
      </c>
      <c r="M61" s="3">
        <f t="shared" ref="M61:V61" ca="1" si="34">B61+0.5</f>
        <v>0.83333333333333304</v>
      </c>
      <c r="N61" s="3">
        <f t="shared" ca="1" si="34"/>
        <v>0.83750000000000002</v>
      </c>
      <c r="O61" s="3">
        <f t="shared" ca="1" si="34"/>
        <v>0.84375</v>
      </c>
      <c r="P61" s="3">
        <f t="shared" ca="1" si="34"/>
        <v>0.85069444444444398</v>
      </c>
      <c r="Q61" s="3">
        <f t="shared" ca="1" si="34"/>
        <v>0.85624999999999996</v>
      </c>
      <c r="R61" s="3">
        <f t="shared" ca="1" si="34"/>
        <v>0.86250000000000004</v>
      </c>
      <c r="S61" s="3">
        <f t="shared" ca="1" si="34"/>
        <v>0.87083333333333302</v>
      </c>
      <c r="T61" s="3">
        <f t="shared" ca="1" si="34"/>
        <v>0.875694444444444</v>
      </c>
      <c r="U61" s="3">
        <f t="shared" ca="1" si="34"/>
        <v>0.88124999999999998</v>
      </c>
      <c r="V61" s="3">
        <f t="shared" ca="1" si="34"/>
        <v>0.88749999999999996</v>
      </c>
      <c r="W61" s="4">
        <f t="shared" ca="1" si="0"/>
        <v>5.4166666666666918E-2</v>
      </c>
    </row>
    <row r="62" spans="1:23" ht="13" x14ac:dyDescent="0.15">
      <c r="A62" s="2" t="s">
        <v>143</v>
      </c>
      <c r="B62" s="3">
        <f ca="1">IFERROR(__xludf.DUMMYFUNCTION("SPLIT(A62,"" "")"),0.34375)</f>
        <v>0.34375</v>
      </c>
      <c r="C62" s="3">
        <f ca="1">IFERROR(__xludf.DUMMYFUNCTION("""COMPUTED_VALUE"""),0.347916666666666)</f>
        <v>0.34791666666666599</v>
      </c>
      <c r="D62" s="3">
        <f ca="1">IFERROR(__xludf.DUMMYFUNCTION("""COMPUTED_VALUE"""),0.354166666666666)</f>
        <v>0.35416666666666602</v>
      </c>
      <c r="E62" s="3">
        <f ca="1">IFERROR(__xludf.DUMMYFUNCTION("""COMPUTED_VALUE"""),0.361111111111111)</f>
        <v>0.36111111111111099</v>
      </c>
      <c r="F62" s="3">
        <f ca="1">IFERROR(__xludf.DUMMYFUNCTION("""COMPUTED_VALUE"""),0.366666666666666)</f>
        <v>0.36666666666666597</v>
      </c>
      <c r="G62" s="3">
        <f ca="1">IFERROR(__xludf.DUMMYFUNCTION("""COMPUTED_VALUE"""),0.372916666666666)</f>
        <v>0.37291666666666601</v>
      </c>
      <c r="H62" s="3">
        <f ca="1">IFERROR(__xludf.DUMMYFUNCTION("""COMPUTED_VALUE"""),0.38125)</f>
        <v>0.38124999999999998</v>
      </c>
      <c r="I62" s="3">
        <f ca="1">IFERROR(__xludf.DUMMYFUNCTION("""COMPUTED_VALUE"""),0.386111111111111)</f>
        <v>0.38611111111111102</v>
      </c>
      <c r="J62" s="3">
        <f ca="1">IFERROR(__xludf.DUMMYFUNCTION("""COMPUTED_VALUE"""),0.391666666666666)</f>
        <v>0.391666666666666</v>
      </c>
      <c r="K62" s="3">
        <f ca="1">IFERROR(__xludf.DUMMYFUNCTION("""COMPUTED_VALUE"""),0.397916666666666)</f>
        <v>0.39791666666666597</v>
      </c>
      <c r="M62" s="3">
        <f t="shared" ref="M62:V62" ca="1" si="35">B62+0.5</f>
        <v>0.84375</v>
      </c>
      <c r="N62" s="3">
        <f t="shared" ca="1" si="35"/>
        <v>0.84791666666666599</v>
      </c>
      <c r="O62" s="3">
        <f t="shared" ca="1" si="35"/>
        <v>0.85416666666666607</v>
      </c>
      <c r="P62" s="3">
        <f t="shared" ca="1" si="35"/>
        <v>0.86111111111111094</v>
      </c>
      <c r="Q62" s="3">
        <f t="shared" ca="1" si="35"/>
        <v>0.86666666666666603</v>
      </c>
      <c r="R62" s="3">
        <f t="shared" ca="1" si="35"/>
        <v>0.87291666666666601</v>
      </c>
      <c r="S62" s="3">
        <f t="shared" ca="1" si="35"/>
        <v>0.88124999999999998</v>
      </c>
      <c r="T62" s="3">
        <f t="shared" ca="1" si="35"/>
        <v>0.88611111111111107</v>
      </c>
      <c r="U62" s="3">
        <f t="shared" ca="1" si="35"/>
        <v>0.89166666666666594</v>
      </c>
      <c r="V62" s="3">
        <f t="shared" ca="1" si="35"/>
        <v>0.89791666666666603</v>
      </c>
      <c r="W62" s="4">
        <f t="shared" ca="1" si="0"/>
        <v>5.416666666666603E-2</v>
      </c>
    </row>
    <row r="63" spans="1:23" ht="13" x14ac:dyDescent="0.15">
      <c r="A63" s="2" t="s">
        <v>144</v>
      </c>
      <c r="B63" s="3">
        <f ca="1">IFERROR(__xludf.DUMMYFUNCTION("SPLIT(A63,"" "")"),0.354166666666666)</f>
        <v>0.35416666666666602</v>
      </c>
      <c r="C63" s="3">
        <f ca="1">IFERROR(__xludf.DUMMYFUNCTION("""COMPUTED_VALUE"""),0.358333333333333)</f>
        <v>0.358333333333333</v>
      </c>
      <c r="D63" s="3">
        <f ca="1">IFERROR(__xludf.DUMMYFUNCTION("""COMPUTED_VALUE"""),0.364583333333333)</f>
        <v>0.36458333333333298</v>
      </c>
      <c r="E63" s="3">
        <f ca="1">IFERROR(__xludf.DUMMYFUNCTION("""COMPUTED_VALUE"""),0.371527777777777)</f>
        <v>0.37152777777777701</v>
      </c>
      <c r="F63" s="3">
        <f ca="1">IFERROR(__xludf.DUMMYFUNCTION("""COMPUTED_VALUE"""),0.377083333333333)</f>
        <v>0.37708333333333299</v>
      </c>
      <c r="G63" s="3">
        <f ca="1">IFERROR(__xludf.DUMMYFUNCTION("""COMPUTED_VALUE"""),0.383333333333333)</f>
        <v>0.38333333333333303</v>
      </c>
      <c r="H63" s="3">
        <f ca="1">IFERROR(__xludf.DUMMYFUNCTION("""COMPUTED_VALUE"""),0.391666666666666)</f>
        <v>0.391666666666666</v>
      </c>
      <c r="I63" s="3">
        <f ca="1">IFERROR(__xludf.DUMMYFUNCTION("""COMPUTED_VALUE"""),0.396527777777777)</f>
        <v>0.39652777777777698</v>
      </c>
      <c r="J63" s="3">
        <f ca="1">IFERROR(__xludf.DUMMYFUNCTION("""COMPUTED_VALUE"""),0.402083333333333)</f>
        <v>0.40208333333333302</v>
      </c>
      <c r="K63" s="3">
        <f ca="1">IFERROR(__xludf.DUMMYFUNCTION("""COMPUTED_VALUE"""),0.408333333333333)</f>
        <v>0.40833333333333299</v>
      </c>
      <c r="M63" s="3">
        <f t="shared" ref="M63:V63" ca="1" si="36">B63+0.5</f>
        <v>0.85416666666666607</v>
      </c>
      <c r="N63" s="3">
        <f t="shared" ca="1" si="36"/>
        <v>0.85833333333333295</v>
      </c>
      <c r="O63" s="3">
        <f t="shared" ca="1" si="36"/>
        <v>0.86458333333333304</v>
      </c>
      <c r="P63" s="3">
        <f t="shared" ca="1" si="36"/>
        <v>0.87152777777777701</v>
      </c>
      <c r="Q63" s="3">
        <f t="shared" ca="1" si="36"/>
        <v>0.87708333333333299</v>
      </c>
      <c r="R63" s="3">
        <f t="shared" ca="1" si="36"/>
        <v>0.88333333333333308</v>
      </c>
      <c r="S63" s="3">
        <f t="shared" ca="1" si="36"/>
        <v>0.89166666666666594</v>
      </c>
      <c r="T63" s="3">
        <f t="shared" ca="1" si="36"/>
        <v>0.89652777777777692</v>
      </c>
      <c r="U63" s="3">
        <f t="shared" ca="1" si="36"/>
        <v>0.90208333333333302</v>
      </c>
      <c r="V63" s="3">
        <f t="shared" ca="1" si="36"/>
        <v>0.90833333333333299</v>
      </c>
      <c r="W63" s="4">
        <f t="shared" ca="1" si="0"/>
        <v>5.4166666666666918E-2</v>
      </c>
    </row>
    <row r="64" spans="1:23" ht="13" x14ac:dyDescent="0.15">
      <c r="A64" s="2" t="s">
        <v>145</v>
      </c>
      <c r="B64" s="3">
        <f ca="1">IFERROR(__xludf.DUMMYFUNCTION("SPLIT(A64,"" "")"),0.364583333333333)</f>
        <v>0.36458333333333298</v>
      </c>
      <c r="C64" s="3">
        <f ca="1">IFERROR(__xludf.DUMMYFUNCTION("""COMPUTED_VALUE"""),0.36875)</f>
        <v>0.36875000000000002</v>
      </c>
      <c r="D64" s="3">
        <f ca="1">IFERROR(__xludf.DUMMYFUNCTION("""COMPUTED_VALUE"""),0.375)</f>
        <v>0.375</v>
      </c>
      <c r="E64" s="3">
        <f ca="1">IFERROR(__xludf.DUMMYFUNCTION("""COMPUTED_VALUE"""),0.381944444444444)</f>
        <v>0.38194444444444398</v>
      </c>
      <c r="F64" s="3">
        <f ca="1">IFERROR(__xludf.DUMMYFUNCTION("""COMPUTED_VALUE"""),0.3875)</f>
        <v>0.38750000000000001</v>
      </c>
      <c r="G64" s="3">
        <f ca="1">IFERROR(__xludf.DUMMYFUNCTION("""COMPUTED_VALUE"""),0.39375)</f>
        <v>0.39374999999999999</v>
      </c>
      <c r="H64" s="3">
        <f ca="1">IFERROR(__xludf.DUMMYFUNCTION("""COMPUTED_VALUE"""),0.402083333333333)</f>
        <v>0.40208333333333302</v>
      </c>
      <c r="I64" s="3">
        <f ca="1">IFERROR(__xludf.DUMMYFUNCTION("""COMPUTED_VALUE"""),0.406944444444444)</f>
        <v>0.406944444444444</v>
      </c>
      <c r="J64" s="3">
        <f ca="1">IFERROR(__xludf.DUMMYFUNCTION("""COMPUTED_VALUE"""),0.4125)</f>
        <v>0.41249999999999998</v>
      </c>
      <c r="K64" s="3">
        <f ca="1">IFERROR(__xludf.DUMMYFUNCTION("""COMPUTED_VALUE"""),0.41875)</f>
        <v>0.41875000000000001</v>
      </c>
      <c r="M64" s="3">
        <f t="shared" ref="M64:V64" ca="1" si="37">B64+0.5</f>
        <v>0.86458333333333304</v>
      </c>
      <c r="N64" s="3">
        <f t="shared" ca="1" si="37"/>
        <v>0.86875000000000002</v>
      </c>
      <c r="O64" s="3">
        <f t="shared" ca="1" si="37"/>
        <v>0.875</v>
      </c>
      <c r="P64" s="3">
        <f t="shared" ca="1" si="37"/>
        <v>0.88194444444444398</v>
      </c>
      <c r="Q64" s="3">
        <f t="shared" ca="1" si="37"/>
        <v>0.88749999999999996</v>
      </c>
      <c r="R64" s="3">
        <f t="shared" ca="1" si="37"/>
        <v>0.89375000000000004</v>
      </c>
      <c r="S64" s="3">
        <f t="shared" ca="1" si="37"/>
        <v>0.90208333333333302</v>
      </c>
      <c r="T64" s="3">
        <f t="shared" ca="1" si="37"/>
        <v>0.906944444444444</v>
      </c>
      <c r="U64" s="3">
        <f t="shared" ca="1" si="37"/>
        <v>0.91249999999999998</v>
      </c>
      <c r="V64" s="3">
        <f t="shared" ca="1" si="37"/>
        <v>0.91874999999999996</v>
      </c>
      <c r="W64" s="4">
        <f t="shared" ca="1" si="0"/>
        <v>5.4166666666666918E-2</v>
      </c>
    </row>
    <row r="65" spans="1:23" ht="13" x14ac:dyDescent="0.15">
      <c r="A65" s="2" t="s">
        <v>146</v>
      </c>
      <c r="B65" s="3">
        <f ca="1">IFERROR(__xludf.DUMMYFUNCTION("SPLIT(A65,"" "")"),0.378472222222222)</f>
        <v>0.37847222222222199</v>
      </c>
      <c r="C65" s="3">
        <f ca="1">IFERROR(__xludf.DUMMYFUNCTION("""COMPUTED_VALUE"""),0.382638888888888)</f>
        <v>0.38263888888888797</v>
      </c>
      <c r="D65" s="3">
        <f ca="1">IFERROR(__xludf.DUMMYFUNCTION("""COMPUTED_VALUE"""),0.388888888888888)</f>
        <v>0.38888888888888801</v>
      </c>
      <c r="E65" s="3">
        <f ca="1">IFERROR(__xludf.DUMMYFUNCTION("""COMPUTED_VALUE"""),0.395833333333333)</f>
        <v>0.39583333333333298</v>
      </c>
      <c r="F65" s="3">
        <f ca="1">IFERROR(__xludf.DUMMYFUNCTION("""COMPUTED_VALUE"""),0.401388888888888)</f>
        <v>0.40138888888888802</v>
      </c>
      <c r="G65" s="3">
        <f ca="1">IFERROR(__xludf.DUMMYFUNCTION("""COMPUTED_VALUE"""),0.407638888888888)</f>
        <v>0.407638888888888</v>
      </c>
      <c r="H65" s="3">
        <f ca="1">IFERROR(__xludf.DUMMYFUNCTION("""COMPUTED_VALUE"""),0.415972222222222)</f>
        <v>0.41597222222222202</v>
      </c>
      <c r="I65" s="3">
        <f ca="1">IFERROR(__xludf.DUMMYFUNCTION("""COMPUTED_VALUE"""),0.420833333333333)</f>
        <v>0.420833333333333</v>
      </c>
      <c r="J65" s="3">
        <f ca="1">IFERROR(__xludf.DUMMYFUNCTION("""COMPUTED_VALUE"""),0.426388888888888)</f>
        <v>0.42638888888888798</v>
      </c>
      <c r="K65" s="3">
        <f ca="1">IFERROR(__xludf.DUMMYFUNCTION("""COMPUTED_VALUE"""),0.432638888888888)</f>
        <v>0.43263888888888802</v>
      </c>
      <c r="M65" s="3">
        <f t="shared" ref="M65:V65" ca="1" si="38">B65+0.5</f>
        <v>0.87847222222222199</v>
      </c>
      <c r="N65" s="3">
        <f t="shared" ca="1" si="38"/>
        <v>0.88263888888888797</v>
      </c>
      <c r="O65" s="3">
        <f t="shared" ca="1" si="38"/>
        <v>0.88888888888888795</v>
      </c>
      <c r="P65" s="3">
        <f t="shared" ca="1" si="38"/>
        <v>0.89583333333333304</v>
      </c>
      <c r="Q65" s="3">
        <f t="shared" ca="1" si="38"/>
        <v>0.90138888888888802</v>
      </c>
      <c r="R65" s="3">
        <f t="shared" ca="1" si="38"/>
        <v>0.907638888888888</v>
      </c>
      <c r="S65" s="3">
        <f t="shared" ca="1" si="38"/>
        <v>0.91597222222222197</v>
      </c>
      <c r="T65" s="3">
        <f t="shared" ca="1" si="38"/>
        <v>0.92083333333333295</v>
      </c>
      <c r="U65" s="3">
        <f t="shared" ca="1" si="38"/>
        <v>0.92638888888888804</v>
      </c>
      <c r="V65" s="3">
        <f t="shared" ca="1" si="38"/>
        <v>0.93263888888888802</v>
      </c>
      <c r="W65" s="4">
        <f t="shared" ca="1" si="0"/>
        <v>5.416666666666603E-2</v>
      </c>
    </row>
    <row r="66" spans="1:23" ht="13" x14ac:dyDescent="0.15">
      <c r="A66" s="2" t="s">
        <v>147</v>
      </c>
      <c r="B66" s="3">
        <f ca="1">IFERROR(__xludf.DUMMYFUNCTION("SPLIT(A66,"" "")"),0.392361111111111)</f>
        <v>0.39236111111111099</v>
      </c>
      <c r="C66" s="3">
        <f ca="1">IFERROR(__xludf.DUMMYFUNCTION("""COMPUTED_VALUE"""),0.396527777777777)</f>
        <v>0.39652777777777698</v>
      </c>
      <c r="D66" s="3">
        <f ca="1">IFERROR(__xludf.DUMMYFUNCTION("""COMPUTED_VALUE"""),0.402777777777777)</f>
        <v>0.40277777777777701</v>
      </c>
      <c r="E66" s="3">
        <f ca="1">IFERROR(__xludf.DUMMYFUNCTION("""COMPUTED_VALUE"""),0.409722222222222)</f>
        <v>0.40972222222222199</v>
      </c>
      <c r="F66" s="3">
        <f ca="1">IFERROR(__xludf.DUMMYFUNCTION("""COMPUTED_VALUE"""),0.415277777777777)</f>
        <v>0.41527777777777702</v>
      </c>
      <c r="G66" s="3">
        <f ca="1">IFERROR(__xludf.DUMMYFUNCTION("""COMPUTED_VALUE"""),0.421527777777777)</f>
        <v>0.421527777777777</v>
      </c>
      <c r="H66" s="3">
        <f ca="1">IFERROR(__xludf.DUMMYFUNCTION("""COMPUTED_VALUE"""),0.429861111111111)</f>
        <v>0.42986111111111103</v>
      </c>
      <c r="I66" s="3">
        <f ca="1">IFERROR(__xludf.DUMMYFUNCTION("""COMPUTED_VALUE"""),0.434722222222222)</f>
        <v>0.43472222222222201</v>
      </c>
      <c r="J66" s="3">
        <f ca="1">IFERROR(__xludf.DUMMYFUNCTION("""COMPUTED_VALUE"""),0.440277777777777)</f>
        <v>0.44027777777777699</v>
      </c>
      <c r="K66" s="3">
        <f ca="1">IFERROR(__xludf.DUMMYFUNCTION("""COMPUTED_VALUE"""),0.446527777777777)</f>
        <v>0.44652777777777702</v>
      </c>
      <c r="M66" s="3">
        <f t="shared" ref="M66:V66" ca="1" si="39">B66+0.5</f>
        <v>0.89236111111111094</v>
      </c>
      <c r="N66" s="3">
        <f t="shared" ca="1" si="39"/>
        <v>0.89652777777777692</v>
      </c>
      <c r="O66" s="3">
        <f t="shared" ca="1" si="39"/>
        <v>0.90277777777777701</v>
      </c>
      <c r="P66" s="3">
        <f t="shared" ca="1" si="39"/>
        <v>0.90972222222222199</v>
      </c>
      <c r="Q66" s="3">
        <f t="shared" ca="1" si="39"/>
        <v>0.91527777777777697</v>
      </c>
      <c r="R66" s="3">
        <f t="shared" ca="1" si="39"/>
        <v>0.92152777777777706</v>
      </c>
      <c r="S66" s="3">
        <f t="shared" ca="1" si="39"/>
        <v>0.92986111111111103</v>
      </c>
      <c r="T66" s="3">
        <f t="shared" ca="1" si="39"/>
        <v>0.93472222222222201</v>
      </c>
      <c r="U66" s="3">
        <f t="shared" ca="1" si="39"/>
        <v>0.94027777777777699</v>
      </c>
      <c r="V66" s="3">
        <f t="shared" ca="1" si="39"/>
        <v>0.94652777777777697</v>
      </c>
      <c r="W66" s="4">
        <f t="shared" ca="1" si="0"/>
        <v>5.416666666666603E-2</v>
      </c>
    </row>
    <row r="67" spans="1:23" ht="13" x14ac:dyDescent="0.15">
      <c r="A67" s="2" t="s">
        <v>148</v>
      </c>
      <c r="B67" s="3">
        <f ca="1">IFERROR(__xludf.DUMMYFUNCTION("SPLIT(A67,"" "")"),0.40625)</f>
        <v>0.40625</v>
      </c>
      <c r="C67" s="3">
        <f ca="1">IFERROR(__xludf.DUMMYFUNCTION("""COMPUTED_VALUE"""),0.410416666666666)</f>
        <v>0.41041666666666599</v>
      </c>
      <c r="D67" s="3">
        <f ca="1">IFERROR(__xludf.DUMMYFUNCTION("""COMPUTED_VALUE"""),0.416666666666666)</f>
        <v>0.41666666666666602</v>
      </c>
      <c r="E67" s="3">
        <f ca="1">IFERROR(__xludf.DUMMYFUNCTION("""COMPUTED_VALUE"""),0.423611111111111)</f>
        <v>0.42361111111111099</v>
      </c>
      <c r="F67" s="3">
        <f ca="1">IFERROR(__xludf.DUMMYFUNCTION("""COMPUTED_VALUE"""),0.429166666666666)</f>
        <v>0.42916666666666597</v>
      </c>
      <c r="G67" s="3">
        <f ca="1">IFERROR(__xludf.DUMMYFUNCTION("""COMPUTED_VALUE"""),0.435416666666666)</f>
        <v>0.43541666666666601</v>
      </c>
      <c r="H67" s="3">
        <f ca="1">IFERROR(__xludf.DUMMYFUNCTION("""COMPUTED_VALUE"""),0.44375)</f>
        <v>0.44374999999999998</v>
      </c>
      <c r="I67" s="3">
        <f ca="1">IFERROR(__xludf.DUMMYFUNCTION("""COMPUTED_VALUE"""),0.448611111111111)</f>
        <v>0.44861111111111102</v>
      </c>
      <c r="J67" s="3">
        <f ca="1">IFERROR(__xludf.DUMMYFUNCTION("""COMPUTED_VALUE"""),0.454166666666666)</f>
        <v>0.454166666666666</v>
      </c>
      <c r="K67" s="3">
        <f ca="1">IFERROR(__xludf.DUMMYFUNCTION("""COMPUTED_VALUE"""),0.460416666666666)</f>
        <v>0.46041666666666597</v>
      </c>
      <c r="M67" s="3">
        <f t="shared" ref="M67:V67" ca="1" si="40">B67+0.5</f>
        <v>0.90625</v>
      </c>
      <c r="N67" s="3">
        <f t="shared" ca="1" si="40"/>
        <v>0.91041666666666599</v>
      </c>
      <c r="O67" s="3">
        <f t="shared" ca="1" si="40"/>
        <v>0.91666666666666607</v>
      </c>
      <c r="P67" s="3">
        <f t="shared" ca="1" si="40"/>
        <v>0.92361111111111094</v>
      </c>
      <c r="Q67" s="3">
        <f t="shared" ca="1" si="40"/>
        <v>0.92916666666666603</v>
      </c>
      <c r="R67" s="3">
        <f t="shared" ca="1" si="40"/>
        <v>0.93541666666666601</v>
      </c>
      <c r="S67" s="3">
        <f t="shared" ca="1" si="40"/>
        <v>0.94374999999999998</v>
      </c>
      <c r="T67" s="3">
        <f t="shared" ca="1" si="40"/>
        <v>0.94861111111111107</v>
      </c>
      <c r="U67" s="3">
        <f t="shared" ca="1" si="40"/>
        <v>0.95416666666666594</v>
      </c>
      <c r="V67" s="3">
        <f t="shared" ca="1" si="40"/>
        <v>0.96041666666666603</v>
      </c>
      <c r="W67" s="4">
        <f t="shared" ca="1" si="0"/>
        <v>5.416666666666603E-2</v>
      </c>
    </row>
    <row r="68" spans="1:23" ht="13" x14ac:dyDescent="0.15">
      <c r="A68" s="2" t="s">
        <v>149</v>
      </c>
      <c r="B68" s="3">
        <f ca="1">IFERROR(__xludf.DUMMYFUNCTION("SPLIT(A68,"" "")"),0.420138888888888)</f>
        <v>0.42013888888888801</v>
      </c>
      <c r="C68" s="3">
        <f ca="1">IFERROR(__xludf.DUMMYFUNCTION("""COMPUTED_VALUE"""),0.423611111111111)</f>
        <v>0.42361111111111099</v>
      </c>
      <c r="D68" s="3">
        <f ca="1">IFERROR(__xludf.DUMMYFUNCTION("""COMPUTED_VALUE"""),0.429166666666666)</f>
        <v>0.42916666666666597</v>
      </c>
      <c r="E68" s="3">
        <f ca="1">IFERROR(__xludf.DUMMYFUNCTION("""COMPUTED_VALUE"""),0.436111111111111)</f>
        <v>0.43611111111111101</v>
      </c>
      <c r="F68" s="3">
        <f ca="1">IFERROR(__xludf.DUMMYFUNCTION("""COMPUTED_VALUE"""),0.440972222222222)</f>
        <v>0.44097222222222199</v>
      </c>
      <c r="G68" s="3">
        <f ca="1">IFERROR(__xludf.DUMMYFUNCTION("""COMPUTED_VALUE"""),0.446527777777777)</f>
        <v>0.44652777777777702</v>
      </c>
      <c r="H68" s="3">
        <f ca="1">IFERROR(__xludf.DUMMYFUNCTION("""COMPUTED_VALUE"""),0.454166666666666)</f>
        <v>0.454166666666666</v>
      </c>
      <c r="I68" s="3">
        <f ca="1">IFERROR(__xludf.DUMMYFUNCTION("""COMPUTED_VALUE"""),0.458333333333333)</f>
        <v>0.45833333333333298</v>
      </c>
      <c r="J68" s="3">
        <f ca="1">IFERROR(__xludf.DUMMYFUNCTION("""COMPUTED_VALUE"""),0.4625)</f>
        <v>0.46250000000000002</v>
      </c>
      <c r="K68" s="3">
        <f ca="1">IFERROR(__xludf.DUMMYFUNCTION("""COMPUTED_VALUE"""),0.46875)</f>
        <v>0.46875</v>
      </c>
      <c r="M68" s="3">
        <f t="shared" ref="M68:V68" ca="1" si="41">B68+0.5</f>
        <v>0.92013888888888795</v>
      </c>
      <c r="N68" s="3">
        <f t="shared" ca="1" si="41"/>
        <v>0.92361111111111094</v>
      </c>
      <c r="O68" s="3">
        <f t="shared" ca="1" si="41"/>
        <v>0.92916666666666603</v>
      </c>
      <c r="P68" s="3">
        <f t="shared" ca="1" si="41"/>
        <v>0.93611111111111101</v>
      </c>
      <c r="Q68" s="3">
        <f t="shared" ca="1" si="41"/>
        <v>0.94097222222222199</v>
      </c>
      <c r="R68" s="3">
        <f t="shared" ca="1" si="41"/>
        <v>0.94652777777777697</v>
      </c>
      <c r="S68" s="3">
        <f t="shared" ca="1" si="41"/>
        <v>0.95416666666666594</v>
      </c>
      <c r="T68" s="3">
        <f t="shared" ca="1" si="41"/>
        <v>0.95833333333333304</v>
      </c>
      <c r="U68" s="3">
        <f t="shared" ca="1" si="41"/>
        <v>0.96250000000000002</v>
      </c>
      <c r="V68" s="3">
        <f t="shared" ca="1" si="41"/>
        <v>0.96875</v>
      </c>
      <c r="W68" s="4">
        <f t="shared" ca="1" si="0"/>
        <v>4.8611111111112049E-2</v>
      </c>
    </row>
    <row r="69" spans="1:23" ht="13" x14ac:dyDescent="0.15">
      <c r="A69" s="2" t="s">
        <v>150</v>
      </c>
      <c r="B69" s="3">
        <f ca="1">IFERROR(__xludf.DUMMYFUNCTION("SPLIT(A69,"" "")"),0.440972222222222)</f>
        <v>0.44097222222222199</v>
      </c>
      <c r="C69" s="3">
        <f ca="1">IFERROR(__xludf.DUMMYFUNCTION("""COMPUTED_VALUE"""),0.444444444444444)</f>
        <v>0.44444444444444398</v>
      </c>
      <c r="D69" s="3">
        <f ca="1">IFERROR(__xludf.DUMMYFUNCTION("""COMPUTED_VALUE"""),0.45)</f>
        <v>0.45</v>
      </c>
      <c r="E69" s="3">
        <f ca="1">IFERROR(__xludf.DUMMYFUNCTION("""COMPUTED_VALUE"""),0.456944444444444)</f>
        <v>0.45694444444444399</v>
      </c>
      <c r="F69" s="3">
        <f ca="1">IFERROR(__xludf.DUMMYFUNCTION("""COMPUTED_VALUE"""),0.461805555555555)</f>
        <v>0.46180555555555503</v>
      </c>
      <c r="G69" s="3">
        <f ca="1">IFERROR(__xludf.DUMMYFUNCTION("""COMPUTED_VALUE"""),0.467361111111111)</f>
        <v>0.46736111111111101</v>
      </c>
      <c r="H69" s="3">
        <f ca="1">IFERROR(__xludf.DUMMYFUNCTION("""COMPUTED_VALUE"""),0.475)</f>
        <v>0.47499999999999998</v>
      </c>
      <c r="I69" s="3">
        <f ca="1">IFERROR(__xludf.DUMMYFUNCTION("""COMPUTED_VALUE"""),0.479166666666666)</f>
        <v>0.47916666666666602</v>
      </c>
      <c r="J69" s="3">
        <f ca="1">IFERROR(__xludf.DUMMYFUNCTION("""COMPUTED_VALUE"""),0.483333333333333)</f>
        <v>0.483333333333333</v>
      </c>
      <c r="K69" s="3">
        <f ca="1">IFERROR(__xludf.DUMMYFUNCTION("""COMPUTED_VALUE"""),0.489583333333333)</f>
        <v>0.48958333333333298</v>
      </c>
      <c r="M69" s="3">
        <f t="shared" ref="M69:V69" ca="1" si="42">B69+0.5</f>
        <v>0.94097222222222199</v>
      </c>
      <c r="N69" s="3">
        <f t="shared" ca="1" si="42"/>
        <v>0.94444444444444398</v>
      </c>
      <c r="O69" s="3">
        <f t="shared" ca="1" si="42"/>
        <v>0.95</v>
      </c>
      <c r="P69" s="3">
        <f t="shared" ca="1" si="42"/>
        <v>0.95694444444444393</v>
      </c>
      <c r="Q69" s="3">
        <f t="shared" ca="1" si="42"/>
        <v>0.96180555555555503</v>
      </c>
      <c r="R69" s="3">
        <f t="shared" ca="1" si="42"/>
        <v>0.96736111111111101</v>
      </c>
      <c r="S69" s="3">
        <f t="shared" ca="1" si="42"/>
        <v>0.97499999999999998</v>
      </c>
      <c r="T69" s="3">
        <f t="shared" ca="1" si="42"/>
        <v>0.97916666666666607</v>
      </c>
      <c r="U69" s="3">
        <f t="shared" ca="1" si="42"/>
        <v>0.98333333333333295</v>
      </c>
      <c r="V69" s="3">
        <f t="shared" ca="1" si="42"/>
        <v>0.98958333333333304</v>
      </c>
      <c r="W69" s="4">
        <f t="shared" ca="1" si="0"/>
        <v>4.8611111111111049E-2</v>
      </c>
    </row>
    <row r="70" spans="1:23" ht="13" x14ac:dyDescent="0.15">
      <c r="A70" s="2" t="s">
        <v>151</v>
      </c>
      <c r="B70" s="3">
        <f ca="1">IFERROR(__xludf.DUMMYFUNCTION("SPLIT(A70,"" "")"),0.461805555555555)</f>
        <v>0.46180555555555503</v>
      </c>
      <c r="C70" s="3">
        <f ca="1">IFERROR(__xludf.DUMMYFUNCTION("""COMPUTED_VALUE"""),0.465277777777777)</f>
        <v>0.46527777777777701</v>
      </c>
      <c r="D70" s="3">
        <f ca="1">IFERROR(__xludf.DUMMYFUNCTION("""COMPUTED_VALUE"""),0.470833333333333)</f>
        <v>0.47083333333333299</v>
      </c>
      <c r="E70" s="3">
        <f ca="1">IFERROR(__xludf.DUMMYFUNCTION("""COMPUTED_VALUE"""),0.477777777777777)</f>
        <v>0.47777777777777702</v>
      </c>
      <c r="F70" s="3">
        <f ca="1">IFERROR(__xludf.DUMMYFUNCTION("""COMPUTED_VALUE"""),0.482638888888888)</f>
        <v>0.48263888888888801</v>
      </c>
      <c r="G70" s="3">
        <f ca="1">IFERROR(__xludf.DUMMYFUNCTION("""COMPUTED_VALUE"""),0.488194444444444)</f>
        <v>0.48819444444444399</v>
      </c>
      <c r="H70" s="3">
        <f ca="1">IFERROR(__xludf.DUMMYFUNCTION("""COMPUTED_VALUE"""),0.495833333333333)</f>
        <v>0.49583333333333302</v>
      </c>
      <c r="I70" s="3">
        <f ca="1">IFERROR(__xludf.DUMMYFUNCTION("""COMPUTED_VALUE"""),0.5)</f>
        <v>0.5</v>
      </c>
      <c r="J70" s="3">
        <f ca="1">IFERROR(__xludf.DUMMYFUNCTION("""COMPUTED_VALUE"""),0.503472222222222)</f>
        <v>0.50347222222222199</v>
      </c>
      <c r="K70" s="3">
        <f ca="1">IFERROR(__xludf.DUMMYFUNCTION("""COMPUTED_VALUE"""),0.509722222222222)</f>
        <v>0.50972222222222197</v>
      </c>
      <c r="M70" s="3">
        <f t="shared" ref="M70:V70" ca="1" si="43">B70+0.5</f>
        <v>0.96180555555555503</v>
      </c>
      <c r="N70" s="3">
        <f t="shared" ca="1" si="43"/>
        <v>0.96527777777777701</v>
      </c>
      <c r="O70" s="3">
        <f t="shared" ca="1" si="43"/>
        <v>0.97083333333333299</v>
      </c>
      <c r="P70" s="3">
        <f t="shared" ca="1" si="43"/>
        <v>0.97777777777777697</v>
      </c>
      <c r="Q70" s="3">
        <f t="shared" ca="1" si="43"/>
        <v>0.98263888888888795</v>
      </c>
      <c r="R70" s="3">
        <f t="shared" ca="1" si="43"/>
        <v>0.98819444444444393</v>
      </c>
      <c r="S70" s="3">
        <f t="shared" ca="1" si="43"/>
        <v>0.99583333333333302</v>
      </c>
      <c r="T70" s="3">
        <f t="shared" ca="1" si="43"/>
        <v>1</v>
      </c>
      <c r="U70" s="3">
        <f t="shared" ca="1" si="43"/>
        <v>1.0034722222222219</v>
      </c>
      <c r="V70" s="3">
        <f t="shared" ca="1" si="43"/>
        <v>1.009722222222222</v>
      </c>
      <c r="W70" s="4">
        <f t="shared" ca="1" si="0"/>
        <v>4.7916666666666941E-2</v>
      </c>
    </row>
    <row r="71" spans="1:23" ht="13" x14ac:dyDescent="0.15">
      <c r="A71" s="2" t="s">
        <v>152</v>
      </c>
      <c r="B71" s="3">
        <f ca="1">IFERROR(__xludf.DUMMYFUNCTION("SPLIT(A71,"" "")"),0.482638888888888)</f>
        <v>0.48263888888888801</v>
      </c>
      <c r="C71" s="3">
        <f ca="1">IFERROR(__xludf.DUMMYFUNCTION("""COMPUTED_VALUE"""),0.486111111111111)</f>
        <v>0.48611111111111099</v>
      </c>
      <c r="D71" s="3">
        <f ca="1">IFERROR(__xludf.DUMMYFUNCTION("""COMPUTED_VALUE"""),0.491666666666666)</f>
        <v>0.49166666666666597</v>
      </c>
      <c r="E71" s="3">
        <f ca="1">IFERROR(__xludf.DUMMYFUNCTION("""COMPUTED_VALUE"""),0.498611111111111)</f>
        <v>0.49861111111111101</v>
      </c>
      <c r="F71" s="3">
        <f ca="1">IFERROR(__xludf.DUMMYFUNCTION("""COMPUTED_VALUE"""),0.503472222222222)</f>
        <v>0.50347222222222199</v>
      </c>
      <c r="G71" s="3">
        <f ca="1">IFERROR(__xludf.DUMMYFUNCTION("""COMPUTED_VALUE"""),0.509027777777777)</f>
        <v>0.50902777777777697</v>
      </c>
      <c r="H71" s="3">
        <f ca="1">IFERROR(__xludf.DUMMYFUNCTION("""COMPUTED_VALUE"""),0.516666666666666)</f>
        <v>0.51666666666666605</v>
      </c>
      <c r="I71" s="3">
        <f ca="1">IFERROR(__xludf.DUMMYFUNCTION("""COMPUTED_VALUE"""),0.520833333333333)</f>
        <v>0.52083333333333304</v>
      </c>
      <c r="J71" s="3">
        <f ca="1">IFERROR(__xludf.DUMMYFUNCTION("""COMPUTED_VALUE"""),0.524305555555555)</f>
        <v>0.52430555555555503</v>
      </c>
      <c r="K71" s="3">
        <f ca="1">IFERROR(__xludf.DUMMYFUNCTION("""COMPUTED_VALUE"""),0.530555555555555)</f>
        <v>0.530555555555555</v>
      </c>
      <c r="M71" s="3">
        <f t="shared" ref="M71:V71" ca="1" si="44">B71+0.5</f>
        <v>0.98263888888888795</v>
      </c>
      <c r="N71" s="3">
        <f t="shared" ca="1" si="44"/>
        <v>0.98611111111111094</v>
      </c>
      <c r="O71" s="3">
        <f t="shared" ca="1" si="44"/>
        <v>0.99166666666666603</v>
      </c>
      <c r="P71" s="3">
        <f t="shared" ca="1" si="44"/>
        <v>0.99861111111111101</v>
      </c>
      <c r="Q71" s="3">
        <f t="shared" ca="1" si="44"/>
        <v>1.0034722222222219</v>
      </c>
      <c r="R71" s="3">
        <f t="shared" ca="1" si="44"/>
        <v>1.009027777777777</v>
      </c>
      <c r="S71" s="3">
        <f t="shared" ca="1" si="44"/>
        <v>1.0166666666666662</v>
      </c>
      <c r="T71" s="3">
        <f t="shared" ca="1" si="44"/>
        <v>1.020833333333333</v>
      </c>
      <c r="U71" s="3">
        <f t="shared" ca="1" si="44"/>
        <v>1.0243055555555549</v>
      </c>
      <c r="V71" s="3">
        <f t="shared" ca="1" si="44"/>
        <v>1.030555555555555</v>
      </c>
      <c r="W71" s="4">
        <f t="shared" ca="1" si="0"/>
        <v>4.7916666666667052E-2</v>
      </c>
    </row>
    <row r="72" spans="1:23" ht="13" x14ac:dyDescent="0.15">
      <c r="A72" s="2" t="s">
        <v>153</v>
      </c>
      <c r="B72" s="3">
        <f ca="1">IFERROR(__xludf.DUMMYFUNCTION("SPLIT(A72,"" "")"),0.503472222222222)</f>
        <v>0.50347222222222199</v>
      </c>
      <c r="C72" s="3">
        <f ca="1">IFERROR(__xludf.DUMMYFUNCTION("""COMPUTED_VALUE"""),0.506944444444444)</f>
        <v>0.50694444444444398</v>
      </c>
      <c r="D72" s="3">
        <f ca="1">IFERROR(__xludf.DUMMYFUNCTION("""COMPUTED_VALUE"""),0.5125)</f>
        <v>0.51249999999999996</v>
      </c>
      <c r="E72" s="3">
        <f ca="1">IFERROR(__xludf.DUMMYFUNCTION("""COMPUTED_VALUE"""),0.519444444444444)</f>
        <v>0.51944444444444404</v>
      </c>
      <c r="F72" s="3">
        <f ca="1">IFERROR(__xludf.DUMMYFUNCTION("""COMPUTED_VALUE"""),0.524305555555555)</f>
        <v>0.52430555555555503</v>
      </c>
      <c r="G72" s="3">
        <f ca="1">IFERROR(__xludf.DUMMYFUNCTION("""COMPUTED_VALUE"""),0.529861111111111)</f>
        <v>0.52986111111111101</v>
      </c>
      <c r="H72" s="3">
        <f ca="1">IFERROR(__xludf.DUMMYFUNCTION("""COMPUTED_VALUE"""),0.5375)</f>
        <v>0.53749999999999998</v>
      </c>
      <c r="I72" s="3">
        <f ca="1">IFERROR(__xludf.DUMMYFUNCTION("""COMPUTED_VALUE"""),0.0416666666666666)</f>
        <v>4.1666666666666602E-2</v>
      </c>
      <c r="J72" s="3">
        <f ca="1">IFERROR(__xludf.DUMMYFUNCTION("""COMPUTED_VALUE"""),0.0451388888888888)</f>
        <v>4.5138888888888798E-2</v>
      </c>
      <c r="K72" s="3">
        <f ca="1">IFERROR(__xludf.DUMMYFUNCTION("""COMPUTED_VALUE"""),0.0513888888888888)</f>
        <v>5.1388888888888803E-2</v>
      </c>
      <c r="M72" s="3">
        <f t="shared" ref="M72:S72" ca="1" si="45">B72+0.5</f>
        <v>1.0034722222222219</v>
      </c>
      <c r="N72" s="3">
        <f t="shared" ca="1" si="45"/>
        <v>1.006944444444444</v>
      </c>
      <c r="O72" s="3">
        <f t="shared" ca="1" si="45"/>
        <v>1.0125</v>
      </c>
      <c r="P72" s="3">
        <f t="shared" ca="1" si="45"/>
        <v>1.0194444444444439</v>
      </c>
      <c r="Q72" s="3">
        <f t="shared" ca="1" si="45"/>
        <v>1.0243055555555549</v>
      </c>
      <c r="R72" s="3">
        <f t="shared" ca="1" si="45"/>
        <v>1.0298611111111109</v>
      </c>
      <c r="S72" s="3">
        <f t="shared" ca="1" si="45"/>
        <v>1.0375000000000001</v>
      </c>
      <c r="T72" s="3">
        <f t="shared" ref="T72:V72" ca="1" si="46">I72</f>
        <v>4.1666666666666602E-2</v>
      </c>
      <c r="U72" s="3">
        <f t="shared" ca="1" si="46"/>
        <v>4.5138888888888798E-2</v>
      </c>
      <c r="V72" s="3">
        <f t="shared" ca="1" si="46"/>
        <v>5.1388888888888803E-2</v>
      </c>
      <c r="W72" s="4">
        <f ca="1">V72-M72+1</f>
        <v>4.7916666666666941E-2</v>
      </c>
    </row>
    <row r="73" spans="1:23" ht="13" x14ac:dyDescent="0.15">
      <c r="W73" s="4">
        <f ca="1">SUM(W2:W72)</f>
        <v>3.9506944444444438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56"/>
  <sheetViews>
    <sheetView workbookViewId="0"/>
  </sheetViews>
  <sheetFormatPr baseColWidth="10" defaultColWidth="12.6640625" defaultRowHeight="15.75" customHeight="1" x14ac:dyDescent="0.15"/>
  <sheetData>
    <row r="1" spans="1:23" ht="15.75" customHeight="1" x14ac:dyDescent="0.15"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</row>
    <row r="2" spans="1:23" ht="15.75" customHeight="1" x14ac:dyDescent="0.15">
      <c r="A2" s="2" t="s">
        <v>154</v>
      </c>
      <c r="B2" s="3">
        <f ca="1">IFERROR(__xludf.DUMMYFUNCTION("split(A2,"" "")"),0.243055555555555)</f>
        <v>0.243055555555555</v>
      </c>
      <c r="C2" s="3">
        <f ca="1">IFERROR(__xludf.DUMMYFUNCTION("""COMPUTED_VALUE"""),0.247916666666666)</f>
        <v>0.24791666666666601</v>
      </c>
      <c r="D2" s="3">
        <f ca="1">IFERROR(__xludf.DUMMYFUNCTION("""COMPUTED_VALUE"""),0.251388888888888)</f>
        <v>0.251388888888888</v>
      </c>
      <c r="E2" s="3">
        <f ca="1">IFERROR(__xludf.DUMMYFUNCTION("""COMPUTED_VALUE"""),0.254861111111111)</f>
        <v>0.25486111111111098</v>
      </c>
      <c r="F2" s="3">
        <f ca="1">IFERROR(__xludf.DUMMYFUNCTION("""COMPUTED_VALUE"""),0.260416666666666)</f>
        <v>0.26041666666666602</v>
      </c>
      <c r="G2" s="3">
        <f ca="1">IFERROR(__xludf.DUMMYFUNCTION("""COMPUTED_VALUE"""),0.264583333333333)</f>
        <v>0.264583333333333</v>
      </c>
      <c r="H2" s="3">
        <f ca="1">IFERROR(__xludf.DUMMYFUNCTION("""COMPUTED_VALUE"""),0.269444444444444)</f>
        <v>0.26944444444444399</v>
      </c>
      <c r="I2" s="3">
        <f ca="1">IFERROR(__xludf.DUMMYFUNCTION("""COMPUTED_VALUE"""),0.274305555555555)</f>
        <v>0.27430555555555503</v>
      </c>
      <c r="J2" s="3">
        <f ca="1">IFERROR(__xludf.DUMMYFUNCTION("""COMPUTED_VALUE"""),0.278472222222222)</f>
        <v>0.27847222222222201</v>
      </c>
      <c r="K2" s="3">
        <f ca="1">IFERROR(__xludf.DUMMYFUNCTION("""COMPUTED_VALUE"""),0.279166666666666)</f>
        <v>0.27916666666666601</v>
      </c>
      <c r="M2" s="3">
        <v>0.24305555555555555</v>
      </c>
      <c r="N2" s="3">
        <v>0.24791666666666667</v>
      </c>
      <c r="O2" s="3">
        <v>0.25138888888888888</v>
      </c>
      <c r="P2" s="3">
        <v>0.25486111111111109</v>
      </c>
      <c r="Q2" s="3">
        <v>0.26041666666666669</v>
      </c>
      <c r="R2" s="3">
        <v>0.26458333333333334</v>
      </c>
      <c r="S2" s="3">
        <v>0.26944444444444443</v>
      </c>
      <c r="T2" s="3">
        <v>0.27430555555555558</v>
      </c>
      <c r="U2" s="3">
        <v>0.27847222222222223</v>
      </c>
      <c r="V2" s="3">
        <v>0.27916666666666667</v>
      </c>
      <c r="W2" s="4">
        <f t="shared" ref="W2:W54" si="0">V2-M2</f>
        <v>3.6111111111111122E-2</v>
      </c>
    </row>
    <row r="3" spans="1:23" ht="15.75" customHeight="1" x14ac:dyDescent="0.15">
      <c r="A3" s="2" t="s">
        <v>155</v>
      </c>
      <c r="B3" s="3">
        <f ca="1">IFERROR(__xludf.DUMMYFUNCTION("split(A3,"" "")"),0.256944444444444)</f>
        <v>0.25694444444444398</v>
      </c>
      <c r="C3" s="3">
        <f ca="1">IFERROR(__xludf.DUMMYFUNCTION("""COMPUTED_VALUE"""),0.261805555555555)</f>
        <v>0.26180555555555501</v>
      </c>
      <c r="D3" s="3">
        <f ca="1">IFERROR(__xludf.DUMMYFUNCTION("""COMPUTED_VALUE"""),0.265277777777777)</f>
        <v>0.265277777777777</v>
      </c>
      <c r="E3" s="3">
        <f ca="1">IFERROR(__xludf.DUMMYFUNCTION("""COMPUTED_VALUE"""),0.26875)</f>
        <v>0.26874999999999999</v>
      </c>
      <c r="F3" s="3">
        <f ca="1">IFERROR(__xludf.DUMMYFUNCTION("""COMPUTED_VALUE"""),0.274305555555555)</f>
        <v>0.27430555555555503</v>
      </c>
      <c r="G3" s="3">
        <f ca="1">IFERROR(__xludf.DUMMYFUNCTION("""COMPUTED_VALUE"""),0.278472222222222)</f>
        <v>0.27847222222222201</v>
      </c>
      <c r="H3" s="3">
        <f ca="1">IFERROR(__xludf.DUMMYFUNCTION("""COMPUTED_VALUE"""),0.283333333333333)</f>
        <v>0.28333333333333299</v>
      </c>
      <c r="I3" s="3">
        <f ca="1">IFERROR(__xludf.DUMMYFUNCTION("""COMPUTED_VALUE"""),0.288194444444444)</f>
        <v>0.28819444444444398</v>
      </c>
      <c r="J3" s="3">
        <f ca="1">IFERROR(__xludf.DUMMYFUNCTION("""COMPUTED_VALUE"""),0.292361111111111)</f>
        <v>0.29236111111111102</v>
      </c>
      <c r="K3" s="3">
        <f ca="1">IFERROR(__xludf.DUMMYFUNCTION("""COMPUTED_VALUE"""),0.293055555555555)</f>
        <v>0.29305555555555501</v>
      </c>
      <c r="M3" s="3">
        <v>0.25694444444444442</v>
      </c>
      <c r="N3" s="3">
        <v>0.26180555555555557</v>
      </c>
      <c r="O3" s="3">
        <v>0.26527777777777778</v>
      </c>
      <c r="P3" s="3">
        <v>0.26874999999999999</v>
      </c>
      <c r="Q3" s="3">
        <v>0.27430555555555558</v>
      </c>
      <c r="R3" s="3">
        <v>0.27847222222222223</v>
      </c>
      <c r="S3" s="3">
        <v>0.28333333333333333</v>
      </c>
      <c r="T3" s="3">
        <v>0.28819444444444442</v>
      </c>
      <c r="U3" s="3">
        <v>0.29236111111111113</v>
      </c>
      <c r="V3" s="3">
        <v>0.29305555555555557</v>
      </c>
      <c r="W3" s="4">
        <f t="shared" si="0"/>
        <v>3.6111111111111149E-2</v>
      </c>
    </row>
    <row r="4" spans="1:23" ht="15.75" customHeight="1" x14ac:dyDescent="0.15">
      <c r="A4" s="2" t="s">
        <v>156</v>
      </c>
      <c r="B4" s="3">
        <f ca="1">IFERROR(__xludf.DUMMYFUNCTION("split(A4,"" "")"),0.270833333333333)</f>
        <v>0.27083333333333298</v>
      </c>
      <c r="C4" s="3">
        <f ca="1">IFERROR(__xludf.DUMMYFUNCTION("""COMPUTED_VALUE"""),0.275694444444444)</f>
        <v>0.27569444444444402</v>
      </c>
      <c r="D4" s="3">
        <f ca="1">IFERROR(__xludf.DUMMYFUNCTION("""COMPUTED_VALUE"""),0.279166666666666)</f>
        <v>0.27916666666666601</v>
      </c>
      <c r="E4" s="3">
        <f ca="1">IFERROR(__xludf.DUMMYFUNCTION("""COMPUTED_VALUE"""),0.282638888888888)</f>
        <v>0.282638888888888</v>
      </c>
      <c r="F4" s="3">
        <f ca="1">IFERROR(__xludf.DUMMYFUNCTION("""COMPUTED_VALUE"""),0.288194444444444)</f>
        <v>0.28819444444444398</v>
      </c>
      <c r="G4" s="3">
        <f ca="1">IFERROR(__xludf.DUMMYFUNCTION("""COMPUTED_VALUE"""),0.292361111111111)</f>
        <v>0.29236111111111102</v>
      </c>
      <c r="H4" s="3">
        <f ca="1">IFERROR(__xludf.DUMMYFUNCTION("""COMPUTED_VALUE"""),0.297222222222222)</f>
        <v>0.297222222222222</v>
      </c>
      <c r="I4" s="3">
        <f ca="1">IFERROR(__xludf.DUMMYFUNCTION("""COMPUTED_VALUE"""),0.302083333333333)</f>
        <v>0.30208333333333298</v>
      </c>
      <c r="J4" s="3">
        <f ca="1">IFERROR(__xludf.DUMMYFUNCTION("""COMPUTED_VALUE"""),0.30625)</f>
        <v>0.30625000000000002</v>
      </c>
      <c r="K4" s="3">
        <f ca="1">IFERROR(__xludf.DUMMYFUNCTION("""COMPUTED_VALUE"""),0.306944444444444)</f>
        <v>0.30694444444444402</v>
      </c>
      <c r="M4" s="3">
        <v>0.27083333333333331</v>
      </c>
      <c r="N4" s="3">
        <v>0.27569444444444446</v>
      </c>
      <c r="O4" s="3">
        <v>0.27916666666666667</v>
      </c>
      <c r="P4" s="3">
        <v>0.28263888888888888</v>
      </c>
      <c r="Q4" s="3">
        <v>0.28819444444444442</v>
      </c>
      <c r="R4" s="3">
        <v>0.29236111111111113</v>
      </c>
      <c r="S4" s="3">
        <v>0.29722222222222222</v>
      </c>
      <c r="T4" s="3">
        <v>0.30208333333333331</v>
      </c>
      <c r="U4" s="3">
        <v>0.30625000000000002</v>
      </c>
      <c r="V4" s="3">
        <v>0.30694444444444446</v>
      </c>
      <c r="W4" s="4">
        <f t="shared" si="0"/>
        <v>3.6111111111111149E-2</v>
      </c>
    </row>
    <row r="5" spans="1:23" ht="15.75" customHeight="1" x14ac:dyDescent="0.15">
      <c r="A5" s="2" t="s">
        <v>157</v>
      </c>
      <c r="B5" s="3">
        <f ca="1">IFERROR(__xludf.DUMMYFUNCTION("split(A5,"" "")"),0.284722222222222)</f>
        <v>0.28472222222222199</v>
      </c>
      <c r="C5" s="3">
        <f ca="1">IFERROR(__xludf.DUMMYFUNCTION("""COMPUTED_VALUE"""),0.289583333333333)</f>
        <v>0.28958333333333303</v>
      </c>
      <c r="D5" s="3">
        <f ca="1">IFERROR(__xludf.DUMMYFUNCTION("""COMPUTED_VALUE"""),0.293055555555555)</f>
        <v>0.29305555555555501</v>
      </c>
      <c r="E5" s="3">
        <f ca="1">IFERROR(__xludf.DUMMYFUNCTION("""COMPUTED_VALUE"""),0.296527777777777)</f>
        <v>0.296527777777777</v>
      </c>
      <c r="F5" s="3">
        <f ca="1">IFERROR(__xludf.DUMMYFUNCTION("""COMPUTED_VALUE"""),0.302083333333333)</f>
        <v>0.30208333333333298</v>
      </c>
      <c r="G5" s="3">
        <f ca="1">IFERROR(__xludf.DUMMYFUNCTION("""COMPUTED_VALUE"""),0.30625)</f>
        <v>0.30625000000000002</v>
      </c>
      <c r="H5" s="3">
        <f ca="1">IFERROR(__xludf.DUMMYFUNCTION("""COMPUTED_VALUE"""),0.311111111111111)</f>
        <v>0.31111111111111101</v>
      </c>
      <c r="I5" s="3">
        <f ca="1">IFERROR(__xludf.DUMMYFUNCTION("""COMPUTED_VALUE"""),0.315972222222222)</f>
        <v>0.31597222222222199</v>
      </c>
      <c r="J5" s="3">
        <f ca="1">IFERROR(__xludf.DUMMYFUNCTION("""COMPUTED_VALUE"""),0.320138888888888)</f>
        <v>0.32013888888888797</v>
      </c>
      <c r="K5" s="3">
        <f ca="1">IFERROR(__xludf.DUMMYFUNCTION("""COMPUTED_VALUE"""),0.320833333333333)</f>
        <v>0.32083333333333303</v>
      </c>
      <c r="M5" s="3">
        <v>0.28472222222222221</v>
      </c>
      <c r="N5" s="3">
        <v>0.28958333333333336</v>
      </c>
      <c r="O5" s="3">
        <v>0.29305555555555557</v>
      </c>
      <c r="P5" s="3">
        <v>0.29652777777777778</v>
      </c>
      <c r="Q5" s="3">
        <v>0.30208333333333331</v>
      </c>
      <c r="R5" s="3">
        <v>0.30625000000000002</v>
      </c>
      <c r="S5" s="3">
        <v>0.31111111111111112</v>
      </c>
      <c r="T5" s="3">
        <v>0.31597222222222221</v>
      </c>
      <c r="U5" s="3">
        <v>0.32013888888888886</v>
      </c>
      <c r="V5" s="3">
        <v>0.32083333333333336</v>
      </c>
      <c r="W5" s="4">
        <f t="shared" si="0"/>
        <v>3.6111111111111149E-2</v>
      </c>
    </row>
    <row r="6" spans="1:23" ht="15.75" customHeight="1" x14ac:dyDescent="0.15">
      <c r="A6" s="2" t="s">
        <v>158</v>
      </c>
      <c r="B6" s="3">
        <f ca="1">IFERROR(__xludf.DUMMYFUNCTION("split(A6,"" "")"),0.298611111111111)</f>
        <v>0.29861111111111099</v>
      </c>
      <c r="C6" s="3">
        <f ca="1">IFERROR(__xludf.DUMMYFUNCTION("""COMPUTED_VALUE"""),0.303472222222222)</f>
        <v>0.30347222222222198</v>
      </c>
      <c r="D6" s="3">
        <f ca="1">IFERROR(__xludf.DUMMYFUNCTION("""COMPUTED_VALUE"""),0.306944444444444)</f>
        <v>0.30694444444444402</v>
      </c>
      <c r="E6" s="3">
        <f ca="1">IFERROR(__xludf.DUMMYFUNCTION("""COMPUTED_VALUE"""),0.310416666666666)</f>
        <v>0.31041666666666601</v>
      </c>
      <c r="F6" s="3">
        <f ca="1">IFERROR(__xludf.DUMMYFUNCTION("""COMPUTED_VALUE"""),0.315972222222222)</f>
        <v>0.31597222222222199</v>
      </c>
      <c r="G6" s="3">
        <f ca="1">IFERROR(__xludf.DUMMYFUNCTION("""COMPUTED_VALUE"""),0.320138888888888)</f>
        <v>0.32013888888888797</v>
      </c>
      <c r="H6" s="3">
        <f ca="1">IFERROR(__xludf.DUMMYFUNCTION("""COMPUTED_VALUE"""),0.325)</f>
        <v>0.32500000000000001</v>
      </c>
      <c r="I6" s="3">
        <f ca="1">IFERROR(__xludf.DUMMYFUNCTION("""COMPUTED_VALUE"""),0.329861111111111)</f>
        <v>0.32986111111111099</v>
      </c>
      <c r="J6" s="3">
        <f ca="1">IFERROR(__xludf.DUMMYFUNCTION("""COMPUTED_VALUE"""),0.334027777777777)</f>
        <v>0.33402777777777698</v>
      </c>
      <c r="K6" s="3">
        <f ca="1">IFERROR(__xludf.DUMMYFUNCTION("""COMPUTED_VALUE"""),0.334722222222222)</f>
        <v>0.33472222222222198</v>
      </c>
      <c r="M6" s="3">
        <v>0.2986111111111111</v>
      </c>
      <c r="N6" s="3">
        <v>0.3034722222222222</v>
      </c>
      <c r="O6" s="3">
        <v>0.30694444444444446</v>
      </c>
      <c r="P6" s="3">
        <v>0.31041666666666667</v>
      </c>
      <c r="Q6" s="3">
        <v>0.31597222222222221</v>
      </c>
      <c r="R6" s="3">
        <v>0.32013888888888886</v>
      </c>
      <c r="S6" s="3">
        <v>0.32500000000000001</v>
      </c>
      <c r="T6" s="3">
        <v>0.3298611111111111</v>
      </c>
      <c r="U6" s="3">
        <v>0.33402777777777776</v>
      </c>
      <c r="V6" s="3">
        <v>0.3347222222222222</v>
      </c>
      <c r="W6" s="4">
        <f t="shared" si="0"/>
        <v>3.6111111111111094E-2</v>
      </c>
    </row>
    <row r="7" spans="1:23" ht="15.75" customHeight="1" x14ac:dyDescent="0.15">
      <c r="A7" s="2" t="s">
        <v>159</v>
      </c>
      <c r="B7" s="3">
        <f ca="1">IFERROR(__xludf.DUMMYFUNCTION("split(A7,"" "")"),0.3125)</f>
        <v>0.3125</v>
      </c>
      <c r="C7" s="3">
        <f ca="1">IFERROR(__xludf.DUMMYFUNCTION("""COMPUTED_VALUE"""),0.317361111111111)</f>
        <v>0.31736111111111098</v>
      </c>
      <c r="D7" s="3">
        <f ca="1">IFERROR(__xludf.DUMMYFUNCTION("""COMPUTED_VALUE"""),0.320833333333333)</f>
        <v>0.32083333333333303</v>
      </c>
      <c r="E7" s="3">
        <f ca="1">IFERROR(__xludf.DUMMYFUNCTION("""COMPUTED_VALUE"""),0.324305555555555)</f>
        <v>0.32430555555555501</v>
      </c>
      <c r="F7" s="3">
        <f ca="1">IFERROR(__xludf.DUMMYFUNCTION("""COMPUTED_VALUE"""),0.329861111111111)</f>
        <v>0.32986111111111099</v>
      </c>
      <c r="G7" s="3">
        <f ca="1">IFERROR(__xludf.DUMMYFUNCTION("""COMPUTED_VALUE"""),0.334027777777777)</f>
        <v>0.33402777777777698</v>
      </c>
      <c r="H7" s="3">
        <f ca="1">IFERROR(__xludf.DUMMYFUNCTION("""COMPUTED_VALUE"""),0.338888888888888)</f>
        <v>0.33888888888888802</v>
      </c>
      <c r="I7" s="3">
        <f ca="1">IFERROR(__xludf.DUMMYFUNCTION("""COMPUTED_VALUE"""),0.34375)</f>
        <v>0.34375</v>
      </c>
      <c r="J7" s="3">
        <f ca="1">IFERROR(__xludf.DUMMYFUNCTION("""COMPUTED_VALUE"""),0.347916666666666)</f>
        <v>0.34791666666666599</v>
      </c>
      <c r="K7" s="3">
        <f ca="1">IFERROR(__xludf.DUMMYFUNCTION("""COMPUTED_VALUE"""),0.348611111111111)</f>
        <v>0.34861111111111098</v>
      </c>
      <c r="M7" s="3">
        <v>0.3125</v>
      </c>
      <c r="N7" s="3">
        <v>0.31736111111111109</v>
      </c>
      <c r="O7" s="3">
        <v>0.32083333333333336</v>
      </c>
      <c r="P7" s="3">
        <v>0.32430555555555557</v>
      </c>
      <c r="Q7" s="3">
        <v>0.3298611111111111</v>
      </c>
      <c r="R7" s="3">
        <v>0.33402777777777776</v>
      </c>
      <c r="S7" s="3">
        <v>0.33888888888888891</v>
      </c>
      <c r="T7" s="3">
        <v>0.34375</v>
      </c>
      <c r="U7" s="3">
        <v>0.34791666666666665</v>
      </c>
      <c r="V7" s="3">
        <v>0.34861111111111109</v>
      </c>
      <c r="W7" s="4">
        <f t="shared" si="0"/>
        <v>3.6111111111111094E-2</v>
      </c>
    </row>
    <row r="8" spans="1:23" ht="15.75" customHeight="1" x14ac:dyDescent="0.15">
      <c r="A8" s="2" t="s">
        <v>160</v>
      </c>
      <c r="B8" s="3">
        <f ca="1">IFERROR(__xludf.DUMMYFUNCTION("split(A8,"" "")"),0.326388888888888)</f>
        <v>0.32638888888888801</v>
      </c>
      <c r="C8" s="3">
        <f ca="1">IFERROR(__xludf.DUMMYFUNCTION("""COMPUTED_VALUE"""),0.33125)</f>
        <v>0.33124999999999999</v>
      </c>
      <c r="D8" s="3">
        <f ca="1">IFERROR(__xludf.DUMMYFUNCTION("""COMPUTED_VALUE"""),0.334722222222222)</f>
        <v>0.33472222222222198</v>
      </c>
      <c r="E8" s="3">
        <f ca="1">IFERROR(__xludf.DUMMYFUNCTION("""COMPUTED_VALUE"""),0.338194444444444)</f>
        <v>0.33819444444444402</v>
      </c>
      <c r="F8" s="3">
        <f ca="1">IFERROR(__xludf.DUMMYFUNCTION("""COMPUTED_VALUE"""),0.34375)</f>
        <v>0.34375</v>
      </c>
      <c r="G8" s="3">
        <f ca="1">IFERROR(__xludf.DUMMYFUNCTION("""COMPUTED_VALUE"""),0.347916666666666)</f>
        <v>0.34791666666666599</v>
      </c>
      <c r="H8" s="3">
        <f ca="1">IFERROR(__xludf.DUMMYFUNCTION("""COMPUTED_VALUE"""),0.352777777777777)</f>
        <v>0.35277777777777702</v>
      </c>
      <c r="I8" s="3">
        <f ca="1">IFERROR(__xludf.DUMMYFUNCTION("""COMPUTED_VALUE"""),0.357638888888888)</f>
        <v>0.35763888888888801</v>
      </c>
      <c r="J8" s="3">
        <f ca="1">IFERROR(__xludf.DUMMYFUNCTION("""COMPUTED_VALUE"""),0.361805555555555)</f>
        <v>0.36180555555555499</v>
      </c>
      <c r="K8" s="3">
        <f ca="1">IFERROR(__xludf.DUMMYFUNCTION("""COMPUTED_VALUE"""),0.3625)</f>
        <v>0.36249999999999999</v>
      </c>
      <c r="M8" s="3">
        <v>0.3263888888888889</v>
      </c>
      <c r="N8" s="3">
        <v>0.33124999999999999</v>
      </c>
      <c r="O8" s="3">
        <v>0.3347222222222222</v>
      </c>
      <c r="P8" s="3">
        <v>0.33819444444444446</v>
      </c>
      <c r="Q8" s="3">
        <v>0.34375</v>
      </c>
      <c r="R8" s="3">
        <v>0.34791666666666665</v>
      </c>
      <c r="S8" s="3">
        <v>0.3527777777777778</v>
      </c>
      <c r="T8" s="3">
        <v>0.3576388888888889</v>
      </c>
      <c r="U8" s="3">
        <v>0.36180555555555555</v>
      </c>
      <c r="V8" s="3">
        <v>0.36249999999999999</v>
      </c>
      <c r="W8" s="4">
        <f t="shared" si="0"/>
        <v>3.6111111111111094E-2</v>
      </c>
    </row>
    <row r="9" spans="1:23" ht="15.75" customHeight="1" x14ac:dyDescent="0.15">
      <c r="A9" s="2" t="s">
        <v>161</v>
      </c>
      <c r="B9" s="3">
        <f ca="1">IFERROR(__xludf.DUMMYFUNCTION("split(A9,"" "")"),0.340277777777777)</f>
        <v>0.34027777777777701</v>
      </c>
      <c r="C9" s="3">
        <f ca="1">IFERROR(__xludf.DUMMYFUNCTION("""COMPUTED_VALUE"""),0.346527777777777)</f>
        <v>0.34652777777777699</v>
      </c>
      <c r="D9" s="3">
        <f ca="1">IFERROR(__xludf.DUMMYFUNCTION("""COMPUTED_VALUE"""),0.350694444444444)</f>
        <v>0.35069444444444398</v>
      </c>
      <c r="E9" s="3">
        <f ca="1">IFERROR(__xludf.DUMMYFUNCTION("""COMPUTED_VALUE"""),0.354166666666666)</f>
        <v>0.35416666666666602</v>
      </c>
      <c r="F9" s="3">
        <f ca="1">IFERROR(__xludf.DUMMYFUNCTION("""COMPUTED_VALUE"""),0.359722222222222)</f>
        <v>0.359722222222222</v>
      </c>
      <c r="G9" s="3">
        <f ca="1">IFERROR(__xludf.DUMMYFUNCTION("""COMPUTED_VALUE"""),0.364583333333333)</f>
        <v>0.36458333333333298</v>
      </c>
      <c r="H9" s="3">
        <f ca="1">IFERROR(__xludf.DUMMYFUNCTION("""COMPUTED_VALUE"""),0.370138888888888)</f>
        <v>0.37013888888888802</v>
      </c>
      <c r="I9" s="3">
        <f ca="1">IFERROR(__xludf.DUMMYFUNCTION("""COMPUTED_VALUE"""),0.375694444444444)</f>
        <v>0.375694444444444</v>
      </c>
      <c r="J9" s="3">
        <f ca="1">IFERROR(__xludf.DUMMYFUNCTION("""COMPUTED_VALUE"""),0.379861111111111)</f>
        <v>0.37986111111111098</v>
      </c>
      <c r="K9" s="3">
        <f ca="1">IFERROR(__xludf.DUMMYFUNCTION("""COMPUTED_VALUE"""),0.380555555555555)</f>
        <v>0.38055555555555498</v>
      </c>
      <c r="M9" s="3">
        <v>0.34027777777777779</v>
      </c>
      <c r="N9" s="3">
        <v>0.34652777777777777</v>
      </c>
      <c r="O9" s="3">
        <v>0.35069444444444442</v>
      </c>
      <c r="P9" s="3">
        <v>0.35416666666666669</v>
      </c>
      <c r="Q9" s="3">
        <v>0.35972222222222222</v>
      </c>
      <c r="R9" s="3">
        <v>0.36458333333333331</v>
      </c>
      <c r="S9" s="3">
        <v>0.37013888888888891</v>
      </c>
      <c r="T9" s="3">
        <v>0.37569444444444444</v>
      </c>
      <c r="U9" s="3">
        <v>0.37986111111111109</v>
      </c>
      <c r="V9" s="3">
        <v>0.38055555555555554</v>
      </c>
      <c r="W9" s="4">
        <f t="shared" si="0"/>
        <v>4.0277777777777746E-2</v>
      </c>
    </row>
    <row r="10" spans="1:23" ht="15.75" customHeight="1" x14ac:dyDescent="0.15">
      <c r="A10" s="2" t="s">
        <v>162</v>
      </c>
      <c r="B10" s="3">
        <f ca="1">IFERROR(__xludf.DUMMYFUNCTION("split(A10,"" "")"),0.354166666666666)</f>
        <v>0.35416666666666602</v>
      </c>
      <c r="C10" s="3">
        <f ca="1">IFERROR(__xludf.DUMMYFUNCTION("""COMPUTED_VALUE"""),0.360416666666666)</f>
        <v>0.360416666666666</v>
      </c>
      <c r="D10" s="3">
        <f ca="1">IFERROR(__xludf.DUMMYFUNCTION("""COMPUTED_VALUE"""),0.364583333333333)</f>
        <v>0.36458333333333298</v>
      </c>
      <c r="E10" s="3">
        <f ca="1">IFERROR(__xludf.DUMMYFUNCTION("""COMPUTED_VALUE"""),0.368055555555555)</f>
        <v>0.36805555555555503</v>
      </c>
      <c r="F10" s="3">
        <f ca="1">IFERROR(__xludf.DUMMYFUNCTION("""COMPUTED_VALUE"""),0.373611111111111)</f>
        <v>0.37361111111111101</v>
      </c>
      <c r="G10" s="3">
        <f ca="1">IFERROR(__xludf.DUMMYFUNCTION("""COMPUTED_VALUE"""),0.378472222222222)</f>
        <v>0.37847222222222199</v>
      </c>
      <c r="H10" s="3">
        <f ca="1">IFERROR(__xludf.DUMMYFUNCTION("""COMPUTED_VALUE"""),0.384027777777777)</f>
        <v>0.38402777777777702</v>
      </c>
      <c r="I10" s="3">
        <f ca="1">IFERROR(__xludf.DUMMYFUNCTION("""COMPUTED_VALUE"""),0.389583333333333)</f>
        <v>0.389583333333333</v>
      </c>
      <c r="J10" s="3">
        <f ca="1">IFERROR(__xludf.DUMMYFUNCTION("""COMPUTED_VALUE"""),0.39375)</f>
        <v>0.39374999999999999</v>
      </c>
      <c r="K10" s="3">
        <f ca="1">IFERROR(__xludf.DUMMYFUNCTION("""COMPUTED_VALUE"""),0.394444444444444)</f>
        <v>0.39444444444444399</v>
      </c>
      <c r="M10" s="3">
        <v>0.35416666666666669</v>
      </c>
      <c r="N10" s="3">
        <v>0.36041666666666666</v>
      </c>
      <c r="O10" s="3">
        <v>0.36458333333333331</v>
      </c>
      <c r="P10" s="3">
        <v>0.36805555555555558</v>
      </c>
      <c r="Q10" s="3">
        <v>0.37361111111111112</v>
      </c>
      <c r="R10" s="3">
        <v>0.37847222222222221</v>
      </c>
      <c r="S10" s="3">
        <v>0.3840277777777778</v>
      </c>
      <c r="T10" s="3">
        <v>0.38958333333333334</v>
      </c>
      <c r="U10" s="3">
        <v>0.39374999999999999</v>
      </c>
      <c r="V10" s="3">
        <v>0.39444444444444443</v>
      </c>
      <c r="W10" s="4">
        <f t="shared" si="0"/>
        <v>4.0277777777777746E-2</v>
      </c>
    </row>
    <row r="11" spans="1:23" ht="15.75" customHeight="1" x14ac:dyDescent="0.15">
      <c r="A11" s="2" t="s">
        <v>163</v>
      </c>
      <c r="B11" s="3">
        <f ca="1">IFERROR(__xludf.DUMMYFUNCTION("split(A11,"" "")"),0.368055555555555)</f>
        <v>0.36805555555555503</v>
      </c>
      <c r="C11" s="3">
        <f ca="1">IFERROR(__xludf.DUMMYFUNCTION("""COMPUTED_VALUE"""),0.374305555555555)</f>
        <v>0.374305555555555</v>
      </c>
      <c r="D11" s="3">
        <f ca="1">IFERROR(__xludf.DUMMYFUNCTION("""COMPUTED_VALUE"""),0.378472222222222)</f>
        <v>0.37847222222222199</v>
      </c>
      <c r="E11" s="3">
        <f ca="1">IFERROR(__xludf.DUMMYFUNCTION("""COMPUTED_VALUE"""),0.381944444444444)</f>
        <v>0.38194444444444398</v>
      </c>
      <c r="F11" s="3">
        <f ca="1">IFERROR(__xludf.DUMMYFUNCTION("""COMPUTED_VALUE"""),0.3875)</f>
        <v>0.38750000000000001</v>
      </c>
      <c r="G11" s="3">
        <f ca="1">IFERROR(__xludf.DUMMYFUNCTION("""COMPUTED_VALUE"""),0.392361111111111)</f>
        <v>0.39236111111111099</v>
      </c>
      <c r="H11" s="3">
        <f ca="1">IFERROR(__xludf.DUMMYFUNCTION("""COMPUTED_VALUE"""),0.397916666666666)</f>
        <v>0.39791666666666597</v>
      </c>
      <c r="I11" s="3">
        <f ca="1">IFERROR(__xludf.DUMMYFUNCTION("""COMPUTED_VALUE"""),0.403472222222222)</f>
        <v>0.40347222222222201</v>
      </c>
      <c r="J11" s="3">
        <f ca="1">IFERROR(__xludf.DUMMYFUNCTION("""COMPUTED_VALUE"""),0.407638888888888)</f>
        <v>0.407638888888888</v>
      </c>
      <c r="K11" s="3">
        <f ca="1">IFERROR(__xludf.DUMMYFUNCTION("""COMPUTED_VALUE"""),0.408333333333333)</f>
        <v>0.40833333333333299</v>
      </c>
      <c r="M11" s="3">
        <v>0.36805555555555558</v>
      </c>
      <c r="N11" s="3">
        <v>0.37430555555555556</v>
      </c>
      <c r="O11" s="3">
        <v>0.37847222222222221</v>
      </c>
      <c r="P11" s="3">
        <v>0.38194444444444442</v>
      </c>
      <c r="Q11" s="3">
        <v>0.38750000000000001</v>
      </c>
      <c r="R11" s="3">
        <v>0.3923611111111111</v>
      </c>
      <c r="S11" s="3">
        <v>0.39791666666666664</v>
      </c>
      <c r="T11" s="3">
        <v>0.40347222222222223</v>
      </c>
      <c r="U11" s="3">
        <v>0.40763888888888888</v>
      </c>
      <c r="V11" s="3">
        <v>0.40833333333333333</v>
      </c>
      <c r="W11" s="4">
        <f t="shared" si="0"/>
        <v>4.0277777777777746E-2</v>
      </c>
    </row>
    <row r="12" spans="1:23" ht="15.75" customHeight="1" x14ac:dyDescent="0.15">
      <c r="A12" s="2" t="s">
        <v>164</v>
      </c>
      <c r="B12" s="3">
        <f ca="1">IFERROR(__xludf.DUMMYFUNCTION("split(A12,"" "")"),0.381944444444444)</f>
        <v>0.38194444444444398</v>
      </c>
      <c r="C12" s="3">
        <f ca="1">IFERROR(__xludf.DUMMYFUNCTION("""COMPUTED_VALUE"""),0.388888888888888)</f>
        <v>0.38888888888888801</v>
      </c>
      <c r="D12" s="3">
        <f ca="1">IFERROR(__xludf.DUMMYFUNCTION("""COMPUTED_VALUE"""),0.393055555555555)</f>
        <v>0.39305555555555499</v>
      </c>
      <c r="E12" s="3">
        <f ca="1">IFERROR(__xludf.DUMMYFUNCTION("""COMPUTED_VALUE"""),0.397222222222222)</f>
        <v>0.39722222222222198</v>
      </c>
      <c r="F12" s="3">
        <f ca="1">IFERROR(__xludf.DUMMYFUNCTION("""COMPUTED_VALUE"""),0.404166666666666)</f>
        <v>0.40416666666666601</v>
      </c>
      <c r="G12" s="3">
        <f ca="1">IFERROR(__xludf.DUMMYFUNCTION("""COMPUTED_VALUE"""),0.409722222222222)</f>
        <v>0.40972222222222199</v>
      </c>
      <c r="H12" s="3">
        <f ca="1">IFERROR(__xludf.DUMMYFUNCTION("""COMPUTED_VALUE"""),0.415972222222222)</f>
        <v>0.41597222222222202</v>
      </c>
      <c r="I12" s="3">
        <f ca="1">IFERROR(__xludf.DUMMYFUNCTION("""COMPUTED_VALUE"""),0.422222222222222)</f>
        <v>0.422222222222222</v>
      </c>
      <c r="J12" s="3">
        <f ca="1">IFERROR(__xludf.DUMMYFUNCTION("""COMPUTED_VALUE"""),0.427083333333333)</f>
        <v>0.42708333333333298</v>
      </c>
      <c r="K12" s="3">
        <f ca="1">IFERROR(__xludf.DUMMYFUNCTION("""COMPUTED_VALUE"""),0.428472222222222)</f>
        <v>0.42847222222222198</v>
      </c>
      <c r="M12" s="3">
        <v>0.38194444444444442</v>
      </c>
      <c r="N12" s="3">
        <v>0.3888888888888889</v>
      </c>
      <c r="O12" s="3">
        <v>0.39305555555555555</v>
      </c>
      <c r="P12" s="3">
        <v>0.3972222222222222</v>
      </c>
      <c r="Q12" s="3">
        <v>0.40416666666666667</v>
      </c>
      <c r="R12" s="3">
        <v>0.40972222222222221</v>
      </c>
      <c r="S12" s="3">
        <v>0.41597222222222224</v>
      </c>
      <c r="T12" s="3">
        <v>0.42222222222222222</v>
      </c>
      <c r="U12" s="3">
        <v>0.42708333333333331</v>
      </c>
      <c r="V12" s="3">
        <v>0.4284722222222222</v>
      </c>
      <c r="W12" s="4">
        <f t="shared" si="0"/>
        <v>4.6527777777777779E-2</v>
      </c>
    </row>
    <row r="13" spans="1:23" ht="15.75" customHeight="1" x14ac:dyDescent="0.15">
      <c r="A13" s="2" t="s">
        <v>165</v>
      </c>
      <c r="B13" s="3">
        <f ca="1">IFERROR(__xludf.DUMMYFUNCTION("split(A13,"" "")"),0.395833333333333)</f>
        <v>0.39583333333333298</v>
      </c>
      <c r="C13" s="3">
        <f ca="1">IFERROR(__xludf.DUMMYFUNCTION("""COMPUTED_VALUE"""),0.402777777777777)</f>
        <v>0.40277777777777701</v>
      </c>
      <c r="D13" s="3">
        <f ca="1">IFERROR(__xludf.DUMMYFUNCTION("""COMPUTED_VALUE"""),0.406944444444444)</f>
        <v>0.406944444444444</v>
      </c>
      <c r="E13" s="3">
        <f ca="1">IFERROR(__xludf.DUMMYFUNCTION("""COMPUTED_VALUE"""),0.411111111111111)</f>
        <v>0.41111111111111098</v>
      </c>
      <c r="F13" s="3">
        <f ca="1">IFERROR(__xludf.DUMMYFUNCTION("""COMPUTED_VALUE"""),0.418055555555555)</f>
        <v>0.41805555555555501</v>
      </c>
      <c r="G13" s="3">
        <f ca="1">IFERROR(__xludf.DUMMYFUNCTION("""COMPUTED_VALUE"""),0.423611111111111)</f>
        <v>0.42361111111111099</v>
      </c>
      <c r="H13" s="3">
        <f ca="1">IFERROR(__xludf.DUMMYFUNCTION("""COMPUTED_VALUE"""),0.429861111111111)</f>
        <v>0.42986111111111103</v>
      </c>
      <c r="I13" s="3">
        <f ca="1">IFERROR(__xludf.DUMMYFUNCTION("""COMPUTED_VALUE"""),0.436111111111111)</f>
        <v>0.43611111111111101</v>
      </c>
      <c r="J13" s="3">
        <f ca="1">IFERROR(__xludf.DUMMYFUNCTION("""COMPUTED_VALUE"""),0.440972222222222)</f>
        <v>0.44097222222222199</v>
      </c>
      <c r="K13" s="3">
        <f ca="1">IFERROR(__xludf.DUMMYFUNCTION("""COMPUTED_VALUE"""),0.442361111111111)</f>
        <v>0.44236111111111098</v>
      </c>
      <c r="M13" s="3">
        <v>0.39583333333333331</v>
      </c>
      <c r="N13" s="3">
        <v>0.40277777777777779</v>
      </c>
      <c r="O13" s="3">
        <v>0.40694444444444444</v>
      </c>
      <c r="P13" s="3">
        <v>0.41111111111111109</v>
      </c>
      <c r="Q13" s="3">
        <v>0.41805555555555557</v>
      </c>
      <c r="R13" s="3">
        <v>0.4236111111111111</v>
      </c>
      <c r="S13" s="3">
        <v>0.42986111111111114</v>
      </c>
      <c r="T13" s="3">
        <v>0.43611111111111112</v>
      </c>
      <c r="U13" s="3">
        <v>0.44097222222222221</v>
      </c>
      <c r="V13" s="3">
        <v>0.44236111111111109</v>
      </c>
      <c r="W13" s="4">
        <f t="shared" si="0"/>
        <v>4.6527777777777779E-2</v>
      </c>
    </row>
    <row r="14" spans="1:23" ht="15.75" customHeight="1" x14ac:dyDescent="0.15">
      <c r="A14" s="2" t="s">
        <v>166</v>
      </c>
      <c r="B14" s="3">
        <f ca="1">IFERROR(__xludf.DUMMYFUNCTION("split(A14,"" "")"),0.409722222222222)</f>
        <v>0.40972222222222199</v>
      </c>
      <c r="C14" s="3">
        <f ca="1">IFERROR(__xludf.DUMMYFUNCTION("""COMPUTED_VALUE"""),0.416666666666666)</f>
        <v>0.41666666666666602</v>
      </c>
      <c r="D14" s="3">
        <f ca="1">IFERROR(__xludf.DUMMYFUNCTION("""COMPUTED_VALUE"""),0.420833333333333)</f>
        <v>0.420833333333333</v>
      </c>
      <c r="E14" s="3">
        <f ca="1">IFERROR(__xludf.DUMMYFUNCTION("""COMPUTED_VALUE"""),0.425)</f>
        <v>0.42499999999999999</v>
      </c>
      <c r="F14" s="3">
        <f ca="1">IFERROR(__xludf.DUMMYFUNCTION("""COMPUTED_VALUE"""),0.431944444444444)</f>
        <v>0.43194444444444402</v>
      </c>
      <c r="G14" s="3">
        <f ca="1">IFERROR(__xludf.DUMMYFUNCTION("""COMPUTED_VALUE"""),0.4375)</f>
        <v>0.4375</v>
      </c>
      <c r="H14" s="3">
        <f ca="1">IFERROR(__xludf.DUMMYFUNCTION("""COMPUTED_VALUE"""),0.44375)</f>
        <v>0.44374999999999998</v>
      </c>
      <c r="I14" s="3">
        <f ca="1">IFERROR(__xludf.DUMMYFUNCTION("""COMPUTED_VALUE"""),0.45)</f>
        <v>0.45</v>
      </c>
      <c r="J14" s="3">
        <f ca="1">IFERROR(__xludf.DUMMYFUNCTION("""COMPUTED_VALUE"""),0.454861111111111)</f>
        <v>0.45486111111111099</v>
      </c>
      <c r="K14" s="3">
        <f ca="1">IFERROR(__xludf.DUMMYFUNCTION("""COMPUTED_VALUE"""),0.45625)</f>
        <v>0.45624999999999999</v>
      </c>
      <c r="M14" s="3">
        <v>0.40972222222222221</v>
      </c>
      <c r="N14" s="3">
        <v>0.41666666666666669</v>
      </c>
      <c r="O14" s="3">
        <v>0.42083333333333334</v>
      </c>
      <c r="P14" s="3">
        <v>0.42499999999999999</v>
      </c>
      <c r="Q14" s="3">
        <v>0.43194444444444446</v>
      </c>
      <c r="R14" s="3">
        <v>0.4375</v>
      </c>
      <c r="S14" s="3">
        <v>0.44374999999999998</v>
      </c>
      <c r="T14" s="3">
        <v>0.45</v>
      </c>
      <c r="U14" s="3">
        <v>0.4548611111111111</v>
      </c>
      <c r="V14" s="3">
        <v>0.45624999999999999</v>
      </c>
      <c r="W14" s="4">
        <f t="shared" si="0"/>
        <v>4.6527777777777779E-2</v>
      </c>
    </row>
    <row r="15" spans="1:23" ht="15.75" customHeight="1" x14ac:dyDescent="0.15">
      <c r="A15" s="2" t="s">
        <v>167</v>
      </c>
      <c r="B15" s="3">
        <f ca="1">IFERROR(__xludf.DUMMYFUNCTION("split(A15,"" "")"),0.423611111111111)</f>
        <v>0.42361111111111099</v>
      </c>
      <c r="C15" s="3">
        <f ca="1">IFERROR(__xludf.DUMMYFUNCTION("""COMPUTED_VALUE"""),0.430555555555555)</f>
        <v>0.43055555555555503</v>
      </c>
      <c r="D15" s="3">
        <f ca="1">IFERROR(__xludf.DUMMYFUNCTION("""COMPUTED_VALUE"""),0.434722222222222)</f>
        <v>0.43472222222222201</v>
      </c>
      <c r="E15" s="3">
        <f ca="1">IFERROR(__xludf.DUMMYFUNCTION("""COMPUTED_VALUE"""),0.438888888888888)</f>
        <v>0.438888888888888</v>
      </c>
      <c r="F15" s="3">
        <f ca="1">IFERROR(__xludf.DUMMYFUNCTION("""COMPUTED_VALUE"""),0.445833333333333)</f>
        <v>0.44583333333333303</v>
      </c>
      <c r="G15" s="3">
        <f ca="1">IFERROR(__xludf.DUMMYFUNCTION("""COMPUTED_VALUE"""),0.451388888888888)</f>
        <v>0.45138888888888801</v>
      </c>
      <c r="H15" s="3">
        <f ca="1">IFERROR(__xludf.DUMMYFUNCTION("""COMPUTED_VALUE"""),0.457638888888888)</f>
        <v>0.45763888888888798</v>
      </c>
      <c r="I15" s="3">
        <f ca="1">IFERROR(__xludf.DUMMYFUNCTION("""COMPUTED_VALUE"""),0.463888888888888)</f>
        <v>0.46388888888888802</v>
      </c>
      <c r="J15" s="3">
        <f ca="1">IFERROR(__xludf.DUMMYFUNCTION("""COMPUTED_VALUE"""),0.46875)</f>
        <v>0.46875</v>
      </c>
      <c r="K15" s="3">
        <f ca="1">IFERROR(__xludf.DUMMYFUNCTION("""COMPUTED_VALUE"""),0.470138888888888)</f>
        <v>0.470138888888888</v>
      </c>
      <c r="M15" s="3">
        <v>0.4236111111111111</v>
      </c>
      <c r="N15" s="3">
        <v>0.43055555555555558</v>
      </c>
      <c r="O15" s="3">
        <v>0.43472222222222223</v>
      </c>
      <c r="P15" s="3">
        <v>0.43888888888888888</v>
      </c>
      <c r="Q15" s="3">
        <v>0.44583333333333336</v>
      </c>
      <c r="R15" s="3">
        <v>0.4513888888888889</v>
      </c>
      <c r="S15" s="3">
        <v>0.45763888888888887</v>
      </c>
      <c r="T15" s="3">
        <v>0.46388888888888891</v>
      </c>
      <c r="U15" s="3">
        <v>0.46875</v>
      </c>
      <c r="V15" s="3">
        <v>0.47013888888888888</v>
      </c>
      <c r="W15" s="4">
        <f t="shared" si="0"/>
        <v>4.6527777777777779E-2</v>
      </c>
    </row>
    <row r="16" spans="1:23" ht="15.75" customHeight="1" x14ac:dyDescent="0.15">
      <c r="A16" s="2" t="s">
        <v>168</v>
      </c>
      <c r="B16" s="3">
        <f ca="1">IFERROR(__xludf.DUMMYFUNCTION("split(A16,"" "")"),0.4375)</f>
        <v>0.4375</v>
      </c>
      <c r="C16" s="3">
        <f ca="1">IFERROR(__xludf.DUMMYFUNCTION("""COMPUTED_VALUE"""),0.444444444444444)</f>
        <v>0.44444444444444398</v>
      </c>
      <c r="D16" s="3">
        <f ca="1">IFERROR(__xludf.DUMMYFUNCTION("""COMPUTED_VALUE"""),0.448611111111111)</f>
        <v>0.44861111111111102</v>
      </c>
      <c r="E16" s="3">
        <f ca="1">IFERROR(__xludf.DUMMYFUNCTION("""COMPUTED_VALUE"""),0.452777777777777)</f>
        <v>0.452777777777777</v>
      </c>
      <c r="F16" s="3">
        <f ca="1">IFERROR(__xludf.DUMMYFUNCTION("""COMPUTED_VALUE"""),0.459722222222222)</f>
        <v>0.45972222222222198</v>
      </c>
      <c r="G16" s="3">
        <f ca="1">IFERROR(__xludf.DUMMYFUNCTION("""COMPUTED_VALUE"""),0.465277777777777)</f>
        <v>0.46527777777777701</v>
      </c>
      <c r="H16" s="3">
        <f ca="1">IFERROR(__xludf.DUMMYFUNCTION("""COMPUTED_VALUE"""),0.471527777777777)</f>
        <v>0.47152777777777699</v>
      </c>
      <c r="I16" s="3">
        <f ca="1">IFERROR(__xludf.DUMMYFUNCTION("""COMPUTED_VALUE"""),0.477777777777777)</f>
        <v>0.47777777777777702</v>
      </c>
      <c r="J16" s="3">
        <f ca="1">IFERROR(__xludf.DUMMYFUNCTION("""COMPUTED_VALUE"""),0.482638888888888)</f>
        <v>0.48263888888888801</v>
      </c>
      <c r="K16" s="3">
        <f ca="1">IFERROR(__xludf.DUMMYFUNCTION("""COMPUTED_VALUE"""),0.484027777777777)</f>
        <v>0.484027777777777</v>
      </c>
      <c r="M16" s="3">
        <v>0.4375</v>
      </c>
      <c r="N16" s="3">
        <v>0.44444444444444442</v>
      </c>
      <c r="O16" s="3">
        <v>0.44861111111111113</v>
      </c>
      <c r="P16" s="3">
        <v>0.45277777777777778</v>
      </c>
      <c r="Q16" s="3">
        <v>0.4597222222222222</v>
      </c>
      <c r="R16" s="3">
        <v>0.46527777777777779</v>
      </c>
      <c r="S16" s="3">
        <v>0.47152777777777777</v>
      </c>
      <c r="T16" s="3">
        <v>0.4777777777777778</v>
      </c>
      <c r="U16" s="3">
        <v>0.4826388888888889</v>
      </c>
      <c r="V16" s="3">
        <v>0.48402777777777778</v>
      </c>
      <c r="W16" s="4">
        <f t="shared" si="0"/>
        <v>4.6527777777777779E-2</v>
      </c>
    </row>
    <row r="17" spans="1:23" ht="15.75" customHeight="1" x14ac:dyDescent="0.15">
      <c r="A17" s="2" t="s">
        <v>169</v>
      </c>
      <c r="B17" s="3">
        <f ca="1">IFERROR(__xludf.DUMMYFUNCTION("split(A17,"" "")"),0.451388888888888)</f>
        <v>0.45138888888888801</v>
      </c>
      <c r="C17" s="3">
        <f ca="1">IFERROR(__xludf.DUMMYFUNCTION("""COMPUTED_VALUE"""),0.458333333333333)</f>
        <v>0.45833333333333298</v>
      </c>
      <c r="D17" s="3">
        <f ca="1">IFERROR(__xludf.DUMMYFUNCTION("""COMPUTED_VALUE"""),0.4625)</f>
        <v>0.46250000000000002</v>
      </c>
      <c r="E17" s="3">
        <f ca="1">IFERROR(__xludf.DUMMYFUNCTION("""COMPUTED_VALUE"""),0.466666666666666)</f>
        <v>0.46666666666666601</v>
      </c>
      <c r="F17" s="3">
        <f ca="1">IFERROR(__xludf.DUMMYFUNCTION("""COMPUTED_VALUE"""),0.473611111111111)</f>
        <v>0.47361111111111098</v>
      </c>
      <c r="G17" s="3">
        <f ca="1">IFERROR(__xludf.DUMMYFUNCTION("""COMPUTED_VALUE"""),0.479166666666666)</f>
        <v>0.47916666666666602</v>
      </c>
      <c r="H17" s="3">
        <f ca="1">IFERROR(__xludf.DUMMYFUNCTION("""COMPUTED_VALUE"""),0.485416666666666)</f>
        <v>0.485416666666666</v>
      </c>
      <c r="I17" s="3">
        <f ca="1">IFERROR(__xludf.DUMMYFUNCTION("""COMPUTED_VALUE"""),0.491666666666666)</f>
        <v>0.49166666666666597</v>
      </c>
      <c r="J17" s="3">
        <f ca="1">IFERROR(__xludf.DUMMYFUNCTION("""COMPUTED_VALUE"""),0.496527777777777)</f>
        <v>0.49652777777777701</v>
      </c>
      <c r="K17" s="3">
        <f ca="1">IFERROR(__xludf.DUMMYFUNCTION("""COMPUTED_VALUE"""),0.497916666666666)</f>
        <v>0.49791666666666601</v>
      </c>
      <c r="M17" s="3">
        <v>0.4513888888888889</v>
      </c>
      <c r="N17" s="3">
        <v>0.45833333333333331</v>
      </c>
      <c r="O17" s="3">
        <v>0.46250000000000002</v>
      </c>
      <c r="P17" s="3">
        <v>0.46666666666666667</v>
      </c>
      <c r="Q17" s="3">
        <v>0.47361111111111109</v>
      </c>
      <c r="R17" s="3">
        <v>0.47916666666666669</v>
      </c>
      <c r="S17" s="3">
        <v>0.48541666666666666</v>
      </c>
      <c r="T17" s="3">
        <v>0.49166666666666664</v>
      </c>
      <c r="U17" s="3">
        <v>0.49652777777777779</v>
      </c>
      <c r="V17" s="3">
        <v>0.49791666666666667</v>
      </c>
      <c r="W17" s="4">
        <f t="shared" si="0"/>
        <v>4.6527777777777779E-2</v>
      </c>
    </row>
    <row r="18" spans="1:23" ht="15.75" customHeight="1" x14ac:dyDescent="0.15">
      <c r="A18" s="2" t="s">
        <v>170</v>
      </c>
      <c r="B18" s="3">
        <f ca="1">IFERROR(__xludf.DUMMYFUNCTION("split(A18,"" "")"),0.465277777777777)</f>
        <v>0.46527777777777701</v>
      </c>
      <c r="C18" s="3">
        <f ca="1">IFERROR(__xludf.DUMMYFUNCTION("""COMPUTED_VALUE"""),0.472916666666666)</f>
        <v>0.47291666666666599</v>
      </c>
      <c r="D18" s="3">
        <f ca="1">IFERROR(__xludf.DUMMYFUNCTION("""COMPUTED_VALUE"""),0.477777777777777)</f>
        <v>0.47777777777777702</v>
      </c>
      <c r="E18" s="3">
        <f ca="1">IFERROR(__xludf.DUMMYFUNCTION("""COMPUTED_VALUE"""),0.481944444444444)</f>
        <v>0.48194444444444401</v>
      </c>
      <c r="F18" s="3">
        <f ca="1">IFERROR(__xludf.DUMMYFUNCTION("""COMPUTED_VALUE"""),0.489583333333333)</f>
        <v>0.48958333333333298</v>
      </c>
      <c r="G18" s="3">
        <f ca="1">IFERROR(__xludf.DUMMYFUNCTION("""COMPUTED_VALUE"""),0.495833333333333)</f>
        <v>0.49583333333333302</v>
      </c>
      <c r="H18" s="3">
        <f ca="1">IFERROR(__xludf.DUMMYFUNCTION("""COMPUTED_VALUE"""),0.503472222222222)</f>
        <v>0.50347222222222199</v>
      </c>
      <c r="I18" s="3">
        <f ca="1">IFERROR(__xludf.DUMMYFUNCTION("""COMPUTED_VALUE"""),0.510416666666666)</f>
        <v>0.51041666666666596</v>
      </c>
      <c r="J18" s="3">
        <f ca="1">IFERROR(__xludf.DUMMYFUNCTION("""COMPUTED_VALUE"""),0.515972222222222)</f>
        <v>0.51597222222222205</v>
      </c>
      <c r="K18" s="3">
        <f ca="1">IFERROR(__xludf.DUMMYFUNCTION("""COMPUTED_VALUE"""),0.517361111111111)</f>
        <v>0.51736111111111105</v>
      </c>
      <c r="M18" s="3">
        <v>0.46527777777777779</v>
      </c>
      <c r="N18" s="3">
        <v>0.47291666666666665</v>
      </c>
      <c r="O18" s="3">
        <v>0.4777777777777778</v>
      </c>
      <c r="P18" s="3">
        <v>0.48194444444444445</v>
      </c>
      <c r="Q18" s="3">
        <v>0.48958333333333331</v>
      </c>
      <c r="R18" s="3">
        <v>0.49583333333333335</v>
      </c>
      <c r="S18" s="3">
        <v>0.50347222222222221</v>
      </c>
      <c r="T18" s="3">
        <v>0.51041666666666663</v>
      </c>
      <c r="U18" s="3">
        <v>0.51597222222222228</v>
      </c>
      <c r="V18" s="3">
        <v>0.51736111111111116</v>
      </c>
      <c r="W18" s="4">
        <f t="shared" si="0"/>
        <v>5.208333333333337E-2</v>
      </c>
    </row>
    <row r="19" spans="1:23" ht="15.75" customHeight="1" x14ac:dyDescent="0.15">
      <c r="A19" s="2" t="s">
        <v>171</v>
      </c>
      <c r="B19" s="3">
        <f ca="1">IFERROR(__xludf.DUMMYFUNCTION("split(A19,"" "")"),0.479166666666666)</f>
        <v>0.47916666666666602</v>
      </c>
      <c r="C19" s="3">
        <f ca="1">IFERROR(__xludf.DUMMYFUNCTION("""COMPUTED_VALUE"""),0.486805555555555)</f>
        <v>0.48680555555555499</v>
      </c>
      <c r="D19" s="3">
        <f ca="1">IFERROR(__xludf.DUMMYFUNCTION("""COMPUTED_VALUE"""),0.491666666666666)</f>
        <v>0.49166666666666597</v>
      </c>
      <c r="E19" s="3">
        <f ca="1">IFERROR(__xludf.DUMMYFUNCTION("""COMPUTED_VALUE"""),0.495833333333333)</f>
        <v>0.49583333333333302</v>
      </c>
      <c r="F19" s="3">
        <f ca="1">IFERROR(__xludf.DUMMYFUNCTION("""COMPUTED_VALUE"""),0.503472222222222)</f>
        <v>0.50347222222222199</v>
      </c>
      <c r="G19" s="3">
        <f ca="1">IFERROR(__xludf.DUMMYFUNCTION("""COMPUTED_VALUE"""),0.509722222222222)</f>
        <v>0.50972222222222197</v>
      </c>
      <c r="H19" s="3">
        <f ca="1">IFERROR(__xludf.DUMMYFUNCTION("""COMPUTED_VALUE"""),0.517361111111111)</f>
        <v>0.51736111111111105</v>
      </c>
      <c r="I19" s="3">
        <f ca="1">IFERROR(__xludf.DUMMYFUNCTION("""COMPUTED_VALUE"""),0.524305555555555)</f>
        <v>0.52430555555555503</v>
      </c>
      <c r="J19" s="3">
        <f ca="1">IFERROR(__xludf.DUMMYFUNCTION("""COMPUTED_VALUE"""),0.529861111111111)</f>
        <v>0.52986111111111101</v>
      </c>
      <c r="K19" s="3">
        <f ca="1">IFERROR(__xludf.DUMMYFUNCTION("""COMPUTED_VALUE"""),0.53125)</f>
        <v>0.53125</v>
      </c>
      <c r="M19" s="3">
        <v>0.47916666666666669</v>
      </c>
      <c r="N19" s="3">
        <v>0.48680555555555555</v>
      </c>
      <c r="O19" s="3">
        <v>0.49166666666666664</v>
      </c>
      <c r="P19" s="3">
        <v>0.49583333333333335</v>
      </c>
      <c r="Q19" s="3">
        <v>0.50347222222222221</v>
      </c>
      <c r="R19" s="3">
        <v>0.50972222222222219</v>
      </c>
      <c r="S19" s="3">
        <v>0.51736111111111116</v>
      </c>
      <c r="T19" s="3">
        <v>0.52430555555555558</v>
      </c>
      <c r="U19" s="3">
        <v>0.52986111111111112</v>
      </c>
      <c r="V19" s="3">
        <v>0.53125</v>
      </c>
      <c r="W19" s="4">
        <f t="shared" si="0"/>
        <v>5.2083333333333315E-2</v>
      </c>
    </row>
    <row r="20" spans="1:23" ht="15.75" customHeight="1" x14ac:dyDescent="0.15">
      <c r="A20" s="2" t="s">
        <v>172</v>
      </c>
      <c r="B20" s="3">
        <f ca="1">IFERROR(__xludf.DUMMYFUNCTION("split(A20,"" "")"),0.493055555555555)</f>
        <v>0.49305555555555503</v>
      </c>
      <c r="C20" s="3">
        <f ca="1">IFERROR(__xludf.DUMMYFUNCTION("""COMPUTED_VALUE"""),0.500694444444444)</f>
        <v>0.500694444444444</v>
      </c>
      <c r="D20" s="3">
        <f ca="1">IFERROR(__xludf.DUMMYFUNCTION("""COMPUTED_VALUE"""),0.505555555555555)</f>
        <v>0.50555555555555498</v>
      </c>
      <c r="E20" s="3">
        <f ca="1">IFERROR(__xludf.DUMMYFUNCTION("""COMPUTED_VALUE"""),0.509722222222222)</f>
        <v>0.50972222222222197</v>
      </c>
      <c r="F20" s="3">
        <f ca="1">IFERROR(__xludf.DUMMYFUNCTION("""COMPUTED_VALUE"""),0.517361111111111)</f>
        <v>0.51736111111111105</v>
      </c>
      <c r="G20" s="3">
        <f ca="1">IFERROR(__xludf.DUMMYFUNCTION("""COMPUTED_VALUE"""),0.523611111111111)</f>
        <v>0.52361111111111103</v>
      </c>
      <c r="H20" s="3">
        <f ca="1">IFERROR(__xludf.DUMMYFUNCTION("""COMPUTED_VALUE"""),0.53125)</f>
        <v>0.53125</v>
      </c>
      <c r="I20" s="3">
        <f ca="1">IFERROR(__xludf.DUMMYFUNCTION("""COMPUTED_VALUE"""),0.538194444444444)</f>
        <v>0.53819444444444398</v>
      </c>
      <c r="J20" s="3">
        <f ca="1">IFERROR(__xludf.DUMMYFUNCTION("""COMPUTED_VALUE"""),0.04375)</f>
        <v>4.3749999999999997E-2</v>
      </c>
      <c r="K20" s="3">
        <f ca="1">IFERROR(__xludf.DUMMYFUNCTION("""COMPUTED_VALUE"""),0.0451388888888888)</f>
        <v>4.5138888888888798E-2</v>
      </c>
      <c r="M20" s="3">
        <v>0.49305555555555558</v>
      </c>
      <c r="N20" s="3">
        <v>0.50069444444444444</v>
      </c>
      <c r="O20" s="3">
        <v>0.50555555555555554</v>
      </c>
      <c r="P20" s="3">
        <v>0.50972222222222219</v>
      </c>
      <c r="Q20" s="3">
        <v>0.51736111111111116</v>
      </c>
      <c r="R20" s="3">
        <v>0.52361111111111114</v>
      </c>
      <c r="S20" s="3">
        <v>0.53125</v>
      </c>
      <c r="T20" s="3">
        <v>0.53819444444444442</v>
      </c>
      <c r="U20" s="3">
        <f t="shared" ref="U20:V20" ca="1" si="1">J20+0.5</f>
        <v>0.54374999999999996</v>
      </c>
      <c r="V20" s="3">
        <f t="shared" ca="1" si="1"/>
        <v>0.54513888888888884</v>
      </c>
      <c r="W20" s="4">
        <f t="shared" ca="1" si="0"/>
        <v>5.2083333333333259E-2</v>
      </c>
    </row>
    <row r="21" spans="1:23" ht="15.75" customHeight="1" x14ac:dyDescent="0.15">
      <c r="A21" s="2" t="s">
        <v>173</v>
      </c>
      <c r="B21" s="3">
        <f ca="1">IFERROR(__xludf.DUMMYFUNCTION("split(A21,"" "")"),0.506944444444444)</f>
        <v>0.50694444444444398</v>
      </c>
      <c r="C21" s="3">
        <f ca="1">IFERROR(__xludf.DUMMYFUNCTION("""COMPUTED_VALUE"""),0.514583333333333)</f>
        <v>0.51458333333333295</v>
      </c>
      <c r="D21" s="3">
        <f ca="1">IFERROR(__xludf.DUMMYFUNCTION("""COMPUTED_VALUE"""),0.519444444444444)</f>
        <v>0.51944444444444404</v>
      </c>
      <c r="E21" s="3">
        <f ca="1">IFERROR(__xludf.DUMMYFUNCTION("""COMPUTED_VALUE"""),0.523611111111111)</f>
        <v>0.52361111111111103</v>
      </c>
      <c r="F21" s="3">
        <f ca="1">IFERROR(__xludf.DUMMYFUNCTION("""COMPUTED_VALUE"""),0.53125)</f>
        <v>0.53125</v>
      </c>
      <c r="G21" s="3">
        <f ca="1">IFERROR(__xludf.DUMMYFUNCTION("""COMPUTED_VALUE"""),0.5375)</f>
        <v>0.53749999999999998</v>
      </c>
      <c r="H21" s="3">
        <f ca="1">IFERROR(__xludf.DUMMYFUNCTION("""COMPUTED_VALUE"""),0.0451388888888888)</f>
        <v>4.5138888888888798E-2</v>
      </c>
      <c r="I21" s="3">
        <f ca="1">IFERROR(__xludf.DUMMYFUNCTION("""COMPUTED_VALUE"""),0.0520833333333333)</f>
        <v>5.2083333333333301E-2</v>
      </c>
      <c r="J21" s="3">
        <f ca="1">IFERROR(__xludf.DUMMYFUNCTION("""COMPUTED_VALUE"""),0.0576388888888888)</f>
        <v>5.7638888888888802E-2</v>
      </c>
      <c r="K21" s="3">
        <f ca="1">IFERROR(__xludf.DUMMYFUNCTION("""COMPUTED_VALUE"""),0.0590277777777777)</f>
        <v>5.90277777777777E-2</v>
      </c>
      <c r="M21" s="3">
        <v>0.50694444444444442</v>
      </c>
      <c r="N21" s="3">
        <v>0.51458333333333328</v>
      </c>
      <c r="O21" s="3">
        <v>0.51944444444444449</v>
      </c>
      <c r="P21" s="3">
        <v>0.52361111111111114</v>
      </c>
      <c r="Q21" s="3">
        <v>0.53125</v>
      </c>
      <c r="R21" s="3">
        <v>0.53749999999999998</v>
      </c>
      <c r="S21" s="3">
        <f t="shared" ref="S21:V21" ca="1" si="2">H21+0.5</f>
        <v>0.54513888888888884</v>
      </c>
      <c r="T21" s="3">
        <f t="shared" ca="1" si="2"/>
        <v>0.55208333333333326</v>
      </c>
      <c r="U21" s="3">
        <f t="shared" ca="1" si="2"/>
        <v>0.5576388888888888</v>
      </c>
      <c r="V21" s="3">
        <f t="shared" ca="1" si="2"/>
        <v>0.55902777777777768</v>
      </c>
      <c r="W21" s="4">
        <f t="shared" ca="1" si="0"/>
        <v>5.2083333333333259E-2</v>
      </c>
    </row>
    <row r="22" spans="1:23" ht="15.75" customHeight="1" x14ac:dyDescent="0.15">
      <c r="A22" s="2" t="s">
        <v>174</v>
      </c>
      <c r="B22" s="3">
        <f ca="1">IFERROR(__xludf.DUMMYFUNCTION("split(A22,"" "")"),0.520833333333333)</f>
        <v>0.52083333333333304</v>
      </c>
      <c r="C22" s="3">
        <f ca="1">IFERROR(__xludf.DUMMYFUNCTION("""COMPUTED_VALUE"""),0.528472222222222)</f>
        <v>0.52847222222222201</v>
      </c>
      <c r="D22" s="3">
        <f ca="1">IFERROR(__xludf.DUMMYFUNCTION("""COMPUTED_VALUE"""),0.533333333333333)</f>
        <v>0.53333333333333299</v>
      </c>
      <c r="E22" s="3">
        <f ca="1">IFERROR(__xludf.DUMMYFUNCTION("""COMPUTED_VALUE"""),0.5375)</f>
        <v>0.53749999999999998</v>
      </c>
      <c r="F22" s="3">
        <f ca="1">IFERROR(__xludf.DUMMYFUNCTION("""COMPUTED_VALUE"""),0.0451388888888888)</f>
        <v>4.5138888888888798E-2</v>
      </c>
      <c r="G22" s="3">
        <f ca="1">IFERROR(__xludf.DUMMYFUNCTION("""COMPUTED_VALUE"""),0.0513888888888888)</f>
        <v>5.1388888888888803E-2</v>
      </c>
      <c r="H22" s="3">
        <f ca="1">IFERROR(__xludf.DUMMYFUNCTION("""COMPUTED_VALUE"""),0.0590277777777777)</f>
        <v>5.90277777777777E-2</v>
      </c>
      <c r="I22" s="3">
        <f ca="1">IFERROR(__xludf.DUMMYFUNCTION("""COMPUTED_VALUE"""),0.0659722222222222)</f>
        <v>6.5972222222222196E-2</v>
      </c>
      <c r="J22" s="3">
        <f ca="1">IFERROR(__xludf.DUMMYFUNCTION("""COMPUTED_VALUE"""),0.0715277777777777)</f>
        <v>7.1527777777777704E-2</v>
      </c>
      <c r="K22" s="3">
        <f ca="1">IFERROR(__xludf.DUMMYFUNCTION("""COMPUTED_VALUE"""),0.0729166666666666)</f>
        <v>7.2916666666666602E-2</v>
      </c>
      <c r="M22" s="3">
        <v>0.52083333333333337</v>
      </c>
      <c r="N22" s="3">
        <v>0.52847222222222223</v>
      </c>
      <c r="O22" s="3">
        <v>0.53333333333333333</v>
      </c>
      <c r="P22" s="3">
        <v>0.53749999999999998</v>
      </c>
      <c r="Q22" s="3">
        <f t="shared" ref="Q22:V22" ca="1" si="3">F22+0.5</f>
        <v>0.54513888888888884</v>
      </c>
      <c r="R22" s="3">
        <f t="shared" ca="1" si="3"/>
        <v>0.55138888888888882</v>
      </c>
      <c r="S22" s="3">
        <f t="shared" ca="1" si="3"/>
        <v>0.55902777777777768</v>
      </c>
      <c r="T22" s="3">
        <f t="shared" ca="1" si="3"/>
        <v>0.56597222222222221</v>
      </c>
      <c r="U22" s="3">
        <f t="shared" ca="1" si="3"/>
        <v>0.57152777777777775</v>
      </c>
      <c r="V22" s="3">
        <f t="shared" ca="1" si="3"/>
        <v>0.57291666666666663</v>
      </c>
      <c r="W22" s="4">
        <f t="shared" ca="1" si="0"/>
        <v>5.2083333333333259E-2</v>
      </c>
    </row>
    <row r="23" spans="1:23" ht="15.75" customHeight="1" x14ac:dyDescent="0.15">
      <c r="A23" s="2" t="s">
        <v>175</v>
      </c>
      <c r="B23" s="3">
        <f ca="1">IFERROR(__xludf.DUMMYFUNCTION("split(A23,"" "")"),0.534722222222222)</f>
        <v>0.53472222222222199</v>
      </c>
      <c r="C23" s="3">
        <f ca="1">IFERROR(__xludf.DUMMYFUNCTION("""COMPUTED_VALUE"""),0.0423611111111111)</f>
        <v>4.2361111111111099E-2</v>
      </c>
      <c r="D23" s="3">
        <f ca="1">IFERROR(__xludf.DUMMYFUNCTION("""COMPUTED_VALUE"""),0.0472222222222222)</f>
        <v>4.72222222222222E-2</v>
      </c>
      <c r="E23" s="3">
        <f ca="1">IFERROR(__xludf.DUMMYFUNCTION("""COMPUTED_VALUE"""),0.0513888888888888)</f>
        <v>5.1388888888888803E-2</v>
      </c>
      <c r="F23" s="3">
        <f ca="1">IFERROR(__xludf.DUMMYFUNCTION("""COMPUTED_VALUE"""),0.0590277777777777)</f>
        <v>5.90277777777777E-2</v>
      </c>
      <c r="G23" s="3">
        <f ca="1">IFERROR(__xludf.DUMMYFUNCTION("""COMPUTED_VALUE"""),0.0652777777777777)</f>
        <v>6.5277777777777699E-2</v>
      </c>
      <c r="H23" s="3">
        <f ca="1">IFERROR(__xludf.DUMMYFUNCTION("""COMPUTED_VALUE"""),0.0729166666666666)</f>
        <v>7.2916666666666602E-2</v>
      </c>
      <c r="I23" s="3">
        <f ca="1">IFERROR(__xludf.DUMMYFUNCTION("""COMPUTED_VALUE"""),0.0798611111111111)</f>
        <v>7.9861111111111105E-2</v>
      </c>
      <c r="J23" s="3">
        <f ca="1">IFERROR(__xludf.DUMMYFUNCTION("""COMPUTED_VALUE"""),0.0854166666666666)</f>
        <v>8.5416666666666599E-2</v>
      </c>
      <c r="K23" s="3">
        <f ca="1">IFERROR(__xludf.DUMMYFUNCTION("""COMPUTED_VALUE"""),0.0868055555555555)</f>
        <v>8.6805555555555497E-2</v>
      </c>
      <c r="M23" s="3">
        <f ca="1">B23</f>
        <v>0.53472222222222199</v>
      </c>
      <c r="N23" s="3">
        <f t="shared" ref="N23:V23" ca="1" si="4">C23+0.5</f>
        <v>0.54236111111111107</v>
      </c>
      <c r="O23" s="3">
        <f t="shared" ca="1" si="4"/>
        <v>0.54722222222222217</v>
      </c>
      <c r="P23" s="3">
        <f t="shared" ca="1" si="4"/>
        <v>0.55138888888888882</v>
      </c>
      <c r="Q23" s="3">
        <f t="shared" ca="1" si="4"/>
        <v>0.55902777777777768</v>
      </c>
      <c r="R23" s="3">
        <f t="shared" ca="1" si="4"/>
        <v>0.56527777777777766</v>
      </c>
      <c r="S23" s="3">
        <f t="shared" ca="1" si="4"/>
        <v>0.57291666666666663</v>
      </c>
      <c r="T23" s="3">
        <f t="shared" ca="1" si="4"/>
        <v>0.57986111111111116</v>
      </c>
      <c r="U23" s="3">
        <f t="shared" ca="1" si="4"/>
        <v>0.58541666666666659</v>
      </c>
      <c r="V23" s="3">
        <f t="shared" ca="1" si="4"/>
        <v>0.58680555555555547</v>
      </c>
      <c r="W23" s="4">
        <f t="shared" ca="1" si="0"/>
        <v>5.2083333333333481E-2</v>
      </c>
    </row>
    <row r="24" spans="1:23" ht="15.75" customHeight="1" x14ac:dyDescent="0.15">
      <c r="A24" s="2" t="s">
        <v>176</v>
      </c>
      <c r="B24" s="3">
        <f ca="1">IFERROR(__xludf.DUMMYFUNCTION("split(A24,"" "")"),0.0486111111111111)</f>
        <v>4.8611111111111098E-2</v>
      </c>
      <c r="C24" s="3">
        <f ca="1">IFERROR(__xludf.DUMMYFUNCTION("""COMPUTED_VALUE"""),0.05625)</f>
        <v>5.6250000000000001E-2</v>
      </c>
      <c r="D24" s="3">
        <f ca="1">IFERROR(__xludf.DUMMYFUNCTION("""COMPUTED_VALUE"""),0.0611111111111111)</f>
        <v>6.1111111111111102E-2</v>
      </c>
      <c r="E24" s="3">
        <f ca="1">IFERROR(__xludf.DUMMYFUNCTION("""COMPUTED_VALUE"""),0.0652777777777777)</f>
        <v>6.5277777777777699E-2</v>
      </c>
      <c r="F24" s="3">
        <f ca="1">IFERROR(__xludf.DUMMYFUNCTION("""COMPUTED_VALUE"""),0.0729166666666666)</f>
        <v>7.2916666666666602E-2</v>
      </c>
      <c r="G24" s="3">
        <f ca="1">IFERROR(__xludf.DUMMYFUNCTION("""COMPUTED_VALUE"""),0.0791666666666666)</f>
        <v>7.9166666666666594E-2</v>
      </c>
      <c r="H24" s="3">
        <f ca="1">IFERROR(__xludf.DUMMYFUNCTION("""COMPUTED_VALUE"""),0.0868055555555555)</f>
        <v>8.6805555555555497E-2</v>
      </c>
      <c r="I24" s="3">
        <f ca="1">IFERROR(__xludf.DUMMYFUNCTION("""COMPUTED_VALUE"""),0.09375)</f>
        <v>9.375E-2</v>
      </c>
      <c r="J24" s="3">
        <f ca="1">IFERROR(__xludf.DUMMYFUNCTION("""COMPUTED_VALUE"""),0.0993055555555555)</f>
        <v>9.9305555555555494E-2</v>
      </c>
      <c r="K24" s="3">
        <f ca="1">IFERROR(__xludf.DUMMYFUNCTION("""COMPUTED_VALUE"""),0.100694444444444)</f>
        <v>0.100694444444444</v>
      </c>
      <c r="M24" s="3">
        <f t="shared" ref="M24:V24" ca="1" si="5">B24+0.5</f>
        <v>0.54861111111111105</v>
      </c>
      <c r="N24" s="3">
        <f t="shared" ca="1" si="5"/>
        <v>0.55625000000000002</v>
      </c>
      <c r="O24" s="3">
        <f t="shared" ca="1" si="5"/>
        <v>0.56111111111111112</v>
      </c>
      <c r="P24" s="3">
        <f t="shared" ca="1" si="5"/>
        <v>0.56527777777777766</v>
      </c>
      <c r="Q24" s="3">
        <f t="shared" ca="1" si="5"/>
        <v>0.57291666666666663</v>
      </c>
      <c r="R24" s="3">
        <f t="shared" ca="1" si="5"/>
        <v>0.57916666666666661</v>
      </c>
      <c r="S24" s="3">
        <f t="shared" ca="1" si="5"/>
        <v>0.58680555555555547</v>
      </c>
      <c r="T24" s="3">
        <f t="shared" ca="1" si="5"/>
        <v>0.59375</v>
      </c>
      <c r="U24" s="3">
        <f t="shared" ca="1" si="5"/>
        <v>0.59930555555555554</v>
      </c>
      <c r="V24" s="3">
        <f t="shared" ca="1" si="5"/>
        <v>0.60069444444444398</v>
      </c>
      <c r="W24" s="4">
        <f t="shared" ca="1" si="0"/>
        <v>5.2083333333332926E-2</v>
      </c>
    </row>
    <row r="25" spans="1:23" ht="15.75" customHeight="1" x14ac:dyDescent="0.15">
      <c r="A25" s="2" t="s">
        <v>177</v>
      </c>
      <c r="B25" s="3">
        <f ca="1">IFERROR(__xludf.DUMMYFUNCTION("split(A25,"" "")"),0.0625)</f>
        <v>6.25E-2</v>
      </c>
      <c r="C25" s="3">
        <f ca="1">IFERROR(__xludf.DUMMYFUNCTION("""COMPUTED_VALUE"""),0.0701388888888888)</f>
        <v>7.0138888888888806E-2</v>
      </c>
      <c r="D25" s="3">
        <f ca="1">IFERROR(__xludf.DUMMYFUNCTION("""COMPUTED_VALUE"""),0.075)</f>
        <v>7.4999999999999997E-2</v>
      </c>
      <c r="E25" s="3">
        <f ca="1">IFERROR(__xludf.DUMMYFUNCTION("""COMPUTED_VALUE"""),0.0791666666666666)</f>
        <v>7.9166666666666594E-2</v>
      </c>
      <c r="F25" s="3">
        <f ca="1">IFERROR(__xludf.DUMMYFUNCTION("""COMPUTED_VALUE"""),0.0868055555555555)</f>
        <v>8.6805555555555497E-2</v>
      </c>
      <c r="G25" s="3">
        <f ca="1">IFERROR(__xludf.DUMMYFUNCTION("""COMPUTED_VALUE"""),0.0930555555555555)</f>
        <v>9.3055555555555503E-2</v>
      </c>
      <c r="H25" s="3">
        <f ca="1">IFERROR(__xludf.DUMMYFUNCTION("""COMPUTED_VALUE"""),0.100694444444444)</f>
        <v>0.100694444444444</v>
      </c>
      <c r="I25" s="3">
        <f ca="1">IFERROR(__xludf.DUMMYFUNCTION("""COMPUTED_VALUE"""),0.107638888888888)</f>
        <v>0.10763888888888801</v>
      </c>
      <c r="J25" s="3">
        <f ca="1">IFERROR(__xludf.DUMMYFUNCTION("""COMPUTED_VALUE"""),0.113194444444444)</f>
        <v>0.113194444444444</v>
      </c>
      <c r="K25" s="3">
        <f ca="1">IFERROR(__xludf.DUMMYFUNCTION("""COMPUTED_VALUE"""),0.114583333333333)</f>
        <v>0.114583333333333</v>
      </c>
      <c r="M25" s="3">
        <f t="shared" ref="M25:V25" ca="1" si="6">B25+0.5</f>
        <v>0.5625</v>
      </c>
      <c r="N25" s="3">
        <f t="shared" ca="1" si="6"/>
        <v>0.57013888888888875</v>
      </c>
      <c r="O25" s="3">
        <f t="shared" ca="1" si="6"/>
        <v>0.57499999999999996</v>
      </c>
      <c r="P25" s="3">
        <f t="shared" ca="1" si="6"/>
        <v>0.57916666666666661</v>
      </c>
      <c r="Q25" s="3">
        <f t="shared" ca="1" si="6"/>
        <v>0.58680555555555547</v>
      </c>
      <c r="R25" s="3">
        <f t="shared" ca="1" si="6"/>
        <v>0.59305555555555545</v>
      </c>
      <c r="S25" s="3">
        <f t="shared" ca="1" si="6"/>
        <v>0.60069444444444398</v>
      </c>
      <c r="T25" s="3">
        <f t="shared" ca="1" si="6"/>
        <v>0.60763888888888795</v>
      </c>
      <c r="U25" s="3">
        <f t="shared" ca="1" si="6"/>
        <v>0.61319444444444404</v>
      </c>
      <c r="V25" s="3">
        <f t="shared" ca="1" si="6"/>
        <v>0.61458333333333304</v>
      </c>
      <c r="W25" s="4">
        <f t="shared" ca="1" si="0"/>
        <v>5.2083333333333037E-2</v>
      </c>
    </row>
    <row r="26" spans="1:23" ht="15.75" customHeight="1" x14ac:dyDescent="0.15">
      <c r="A26" s="2" t="s">
        <v>178</v>
      </c>
      <c r="B26" s="3">
        <f ca="1">IFERROR(__xludf.DUMMYFUNCTION("split(A26,"" "")"),0.0763888888888889)</f>
        <v>7.6388888888888895E-2</v>
      </c>
      <c r="C26" s="3">
        <f ca="1">IFERROR(__xludf.DUMMYFUNCTION("""COMPUTED_VALUE"""),0.0840277777777777)</f>
        <v>8.4027777777777701E-2</v>
      </c>
      <c r="D26" s="3">
        <f ca="1">IFERROR(__xludf.DUMMYFUNCTION("""COMPUTED_VALUE"""),0.0888888888888888)</f>
        <v>8.8888888888888795E-2</v>
      </c>
      <c r="E26" s="3">
        <f ca="1">IFERROR(__xludf.DUMMYFUNCTION("""COMPUTED_VALUE"""),0.0930555555555555)</f>
        <v>9.3055555555555503E-2</v>
      </c>
      <c r="F26" s="3">
        <f ca="1">IFERROR(__xludf.DUMMYFUNCTION("""COMPUTED_VALUE"""),0.100694444444444)</f>
        <v>0.100694444444444</v>
      </c>
      <c r="G26" s="3">
        <f ca="1">IFERROR(__xludf.DUMMYFUNCTION("""COMPUTED_VALUE"""),0.106944444444444)</f>
        <v>0.106944444444444</v>
      </c>
      <c r="H26" s="3">
        <f ca="1">IFERROR(__xludf.DUMMYFUNCTION("""COMPUTED_VALUE"""),0.114583333333333)</f>
        <v>0.114583333333333</v>
      </c>
      <c r="I26" s="3">
        <f ca="1">IFERROR(__xludf.DUMMYFUNCTION("""COMPUTED_VALUE"""),0.121527777777777)</f>
        <v>0.121527777777777</v>
      </c>
      <c r="J26" s="3">
        <f ca="1">IFERROR(__xludf.DUMMYFUNCTION("""COMPUTED_VALUE"""),0.127083333333333)</f>
        <v>0.12708333333333299</v>
      </c>
      <c r="K26" s="3">
        <f ca="1">IFERROR(__xludf.DUMMYFUNCTION("""COMPUTED_VALUE"""),0.128472222222222)</f>
        <v>0.12847222222222199</v>
      </c>
      <c r="M26" s="3">
        <f t="shared" ref="M26:V26" ca="1" si="7">B26+0.5</f>
        <v>0.57638888888888884</v>
      </c>
      <c r="N26" s="3">
        <f t="shared" ca="1" si="7"/>
        <v>0.5840277777777777</v>
      </c>
      <c r="O26" s="3">
        <f t="shared" ca="1" si="7"/>
        <v>0.5888888888888888</v>
      </c>
      <c r="P26" s="3">
        <f t="shared" ca="1" si="7"/>
        <v>0.59305555555555545</v>
      </c>
      <c r="Q26" s="3">
        <f t="shared" ca="1" si="7"/>
        <v>0.60069444444444398</v>
      </c>
      <c r="R26" s="3">
        <f t="shared" ca="1" si="7"/>
        <v>0.60694444444444395</v>
      </c>
      <c r="S26" s="3">
        <f t="shared" ca="1" si="7"/>
        <v>0.61458333333333304</v>
      </c>
      <c r="T26" s="3">
        <f t="shared" ca="1" si="7"/>
        <v>0.62152777777777701</v>
      </c>
      <c r="U26" s="3">
        <f t="shared" ca="1" si="7"/>
        <v>0.62708333333333299</v>
      </c>
      <c r="V26" s="3">
        <f t="shared" ca="1" si="7"/>
        <v>0.62847222222222199</v>
      </c>
      <c r="W26" s="4">
        <f t="shared" ca="1" si="0"/>
        <v>5.2083333333333148E-2</v>
      </c>
    </row>
    <row r="27" spans="1:23" ht="15.75" customHeight="1" x14ac:dyDescent="0.15">
      <c r="A27" s="2" t="s">
        <v>179</v>
      </c>
      <c r="B27" s="3">
        <f ca="1">IFERROR(__xludf.DUMMYFUNCTION("split(A27,"" "")"),0.0902777777777777)</f>
        <v>9.0277777777777707E-2</v>
      </c>
      <c r="C27" s="3">
        <f ca="1">IFERROR(__xludf.DUMMYFUNCTION("""COMPUTED_VALUE"""),0.0979166666666666)</f>
        <v>9.7916666666666596E-2</v>
      </c>
      <c r="D27" s="3">
        <f ca="1">IFERROR(__xludf.DUMMYFUNCTION("""COMPUTED_VALUE"""),0.102777777777777)</f>
        <v>0.102777777777777</v>
      </c>
      <c r="E27" s="3">
        <f ca="1">IFERROR(__xludf.DUMMYFUNCTION("""COMPUTED_VALUE"""),0.106944444444444)</f>
        <v>0.106944444444444</v>
      </c>
      <c r="F27" s="3">
        <f ca="1">IFERROR(__xludf.DUMMYFUNCTION("""COMPUTED_VALUE"""),0.114583333333333)</f>
        <v>0.114583333333333</v>
      </c>
      <c r="G27" s="3">
        <f ca="1">IFERROR(__xludf.DUMMYFUNCTION("""COMPUTED_VALUE"""),0.120833333333333)</f>
        <v>0.120833333333333</v>
      </c>
      <c r="H27" s="3">
        <f ca="1">IFERROR(__xludf.DUMMYFUNCTION("""COMPUTED_VALUE"""),0.128472222222222)</f>
        <v>0.12847222222222199</v>
      </c>
      <c r="I27" s="3">
        <f ca="1">IFERROR(__xludf.DUMMYFUNCTION("""COMPUTED_VALUE"""),0.135416666666666)</f>
        <v>0.13541666666666599</v>
      </c>
      <c r="J27" s="3">
        <f ca="1">IFERROR(__xludf.DUMMYFUNCTION("""COMPUTED_VALUE"""),0.140972222222222)</f>
        <v>0.140972222222222</v>
      </c>
      <c r="K27" s="3">
        <f ca="1">IFERROR(__xludf.DUMMYFUNCTION("""COMPUTED_VALUE"""),0.142361111111111)</f>
        <v>0.14236111111111099</v>
      </c>
      <c r="M27" s="3">
        <f t="shared" ref="M27:V27" ca="1" si="8">B27+0.5</f>
        <v>0.59027777777777768</v>
      </c>
      <c r="N27" s="3">
        <f t="shared" ca="1" si="8"/>
        <v>0.59791666666666665</v>
      </c>
      <c r="O27" s="3">
        <f t="shared" ca="1" si="8"/>
        <v>0.60277777777777697</v>
      </c>
      <c r="P27" s="3">
        <f t="shared" ca="1" si="8"/>
        <v>0.60694444444444395</v>
      </c>
      <c r="Q27" s="3">
        <f t="shared" ca="1" si="8"/>
        <v>0.61458333333333304</v>
      </c>
      <c r="R27" s="3">
        <f t="shared" ca="1" si="8"/>
        <v>0.62083333333333302</v>
      </c>
      <c r="S27" s="3">
        <f t="shared" ca="1" si="8"/>
        <v>0.62847222222222199</v>
      </c>
      <c r="T27" s="3">
        <f t="shared" ca="1" si="8"/>
        <v>0.63541666666666596</v>
      </c>
      <c r="U27" s="3">
        <f t="shared" ca="1" si="8"/>
        <v>0.64097222222222205</v>
      </c>
      <c r="V27" s="3">
        <f t="shared" ca="1" si="8"/>
        <v>0.64236111111111094</v>
      </c>
      <c r="W27" s="4">
        <f t="shared" ca="1" si="0"/>
        <v>5.2083333333333259E-2</v>
      </c>
    </row>
    <row r="28" spans="1:23" ht="15.75" customHeight="1" x14ac:dyDescent="0.15">
      <c r="A28" s="2" t="s">
        <v>180</v>
      </c>
      <c r="B28" s="3">
        <f ca="1">IFERROR(__xludf.DUMMYFUNCTION("split(A28,"" "")"),0.104166666666666)</f>
        <v>0.10416666666666601</v>
      </c>
      <c r="C28" s="3">
        <f ca="1">IFERROR(__xludf.DUMMYFUNCTION("""COMPUTED_VALUE"""),0.111805555555555)</f>
        <v>0.11180555555555501</v>
      </c>
      <c r="D28" s="3">
        <f ca="1">IFERROR(__xludf.DUMMYFUNCTION("""COMPUTED_VALUE"""),0.116666666666666)</f>
        <v>0.116666666666666</v>
      </c>
      <c r="E28" s="3">
        <f ca="1">IFERROR(__xludf.DUMMYFUNCTION("""COMPUTED_VALUE"""),0.120833333333333)</f>
        <v>0.120833333333333</v>
      </c>
      <c r="F28" s="3">
        <f ca="1">IFERROR(__xludf.DUMMYFUNCTION("""COMPUTED_VALUE"""),0.128472222222222)</f>
        <v>0.12847222222222199</v>
      </c>
      <c r="G28" s="3">
        <f ca="1">IFERROR(__xludf.DUMMYFUNCTION("""COMPUTED_VALUE"""),0.134722222222222)</f>
        <v>0.13472222222222199</v>
      </c>
      <c r="H28" s="3">
        <f ca="1">IFERROR(__xludf.DUMMYFUNCTION("""COMPUTED_VALUE"""),0.142361111111111)</f>
        <v>0.14236111111111099</v>
      </c>
      <c r="I28" s="3">
        <f ca="1">IFERROR(__xludf.DUMMYFUNCTION("""COMPUTED_VALUE"""),0.149305555555555)</f>
        <v>0.149305555555555</v>
      </c>
      <c r="J28" s="3">
        <f ca="1">IFERROR(__xludf.DUMMYFUNCTION("""COMPUTED_VALUE"""),0.154861111111111)</f>
        <v>0.15486111111111101</v>
      </c>
      <c r="K28" s="3">
        <f ca="1">IFERROR(__xludf.DUMMYFUNCTION("""COMPUTED_VALUE"""),0.15625)</f>
        <v>0.15625</v>
      </c>
      <c r="M28" s="3">
        <f t="shared" ref="M28:V28" ca="1" si="9">B28+0.5</f>
        <v>0.60416666666666596</v>
      </c>
      <c r="N28" s="3">
        <f t="shared" ca="1" si="9"/>
        <v>0.61180555555555505</v>
      </c>
      <c r="O28" s="3">
        <f t="shared" ca="1" si="9"/>
        <v>0.61666666666666603</v>
      </c>
      <c r="P28" s="3">
        <f t="shared" ca="1" si="9"/>
        <v>0.62083333333333302</v>
      </c>
      <c r="Q28" s="3">
        <f t="shared" ca="1" si="9"/>
        <v>0.62847222222222199</v>
      </c>
      <c r="R28" s="3">
        <f t="shared" ca="1" si="9"/>
        <v>0.63472222222222197</v>
      </c>
      <c r="S28" s="3">
        <f t="shared" ca="1" si="9"/>
        <v>0.64236111111111094</v>
      </c>
      <c r="T28" s="3">
        <f t="shared" ca="1" si="9"/>
        <v>0.64930555555555503</v>
      </c>
      <c r="U28" s="3">
        <f t="shared" ca="1" si="9"/>
        <v>0.65486111111111101</v>
      </c>
      <c r="V28" s="3">
        <f t="shared" ca="1" si="9"/>
        <v>0.65625</v>
      </c>
      <c r="W28" s="4">
        <f t="shared" ca="1" si="0"/>
        <v>5.2083333333334036E-2</v>
      </c>
    </row>
    <row r="29" spans="1:23" ht="15.75" customHeight="1" x14ac:dyDescent="0.15">
      <c r="A29" s="2" t="s">
        <v>181</v>
      </c>
      <c r="B29" s="3">
        <f ca="1">IFERROR(__xludf.DUMMYFUNCTION("split(A29,"" "")"),0.118055555555555)</f>
        <v>0.118055555555555</v>
      </c>
      <c r="C29" s="3">
        <f ca="1">IFERROR(__xludf.DUMMYFUNCTION("""COMPUTED_VALUE"""),0.125694444444444)</f>
        <v>0.125694444444444</v>
      </c>
      <c r="D29" s="3">
        <f ca="1">IFERROR(__xludf.DUMMYFUNCTION("""COMPUTED_VALUE"""),0.130555555555555)</f>
        <v>0.13055555555555501</v>
      </c>
      <c r="E29" s="3">
        <f ca="1">IFERROR(__xludf.DUMMYFUNCTION("""COMPUTED_VALUE"""),0.134722222222222)</f>
        <v>0.13472222222222199</v>
      </c>
      <c r="F29" s="3">
        <f ca="1">IFERROR(__xludf.DUMMYFUNCTION("""COMPUTED_VALUE"""),0.142361111111111)</f>
        <v>0.14236111111111099</v>
      </c>
      <c r="G29" s="3">
        <f ca="1">IFERROR(__xludf.DUMMYFUNCTION("""COMPUTED_VALUE"""),0.148611111111111)</f>
        <v>0.148611111111111</v>
      </c>
      <c r="H29" s="3">
        <f ca="1">IFERROR(__xludf.DUMMYFUNCTION("""COMPUTED_VALUE"""),0.15625)</f>
        <v>0.15625</v>
      </c>
      <c r="I29" s="3">
        <f ca="1">IFERROR(__xludf.DUMMYFUNCTION("""COMPUTED_VALUE"""),0.163194444444444)</f>
        <v>0.163194444444444</v>
      </c>
      <c r="J29" s="3">
        <f ca="1">IFERROR(__xludf.DUMMYFUNCTION("""COMPUTED_VALUE"""),0.16875)</f>
        <v>0.16875000000000001</v>
      </c>
      <c r="K29" s="3">
        <f ca="1">IFERROR(__xludf.DUMMYFUNCTION("""COMPUTED_VALUE"""),0.170138888888888)</f>
        <v>0.17013888888888801</v>
      </c>
      <c r="M29" s="3">
        <f t="shared" ref="M29:V29" ca="1" si="10">B29+0.5</f>
        <v>0.61805555555555503</v>
      </c>
      <c r="N29" s="3">
        <f t="shared" ca="1" si="10"/>
        <v>0.625694444444444</v>
      </c>
      <c r="O29" s="3">
        <f t="shared" ca="1" si="10"/>
        <v>0.63055555555555498</v>
      </c>
      <c r="P29" s="3">
        <f t="shared" ca="1" si="10"/>
        <v>0.63472222222222197</v>
      </c>
      <c r="Q29" s="3">
        <f t="shared" ca="1" si="10"/>
        <v>0.64236111111111094</v>
      </c>
      <c r="R29" s="3">
        <f t="shared" ca="1" si="10"/>
        <v>0.64861111111111103</v>
      </c>
      <c r="S29" s="3">
        <f t="shared" ca="1" si="10"/>
        <v>0.65625</v>
      </c>
      <c r="T29" s="3">
        <f t="shared" ca="1" si="10"/>
        <v>0.66319444444444398</v>
      </c>
      <c r="U29" s="3">
        <f t="shared" ca="1" si="10"/>
        <v>0.66874999999999996</v>
      </c>
      <c r="V29" s="3">
        <f t="shared" ca="1" si="10"/>
        <v>0.67013888888888795</v>
      </c>
      <c r="W29" s="4">
        <f t="shared" ca="1" si="0"/>
        <v>5.2083333333332926E-2</v>
      </c>
    </row>
    <row r="30" spans="1:23" ht="15.75" customHeight="1" x14ac:dyDescent="0.15">
      <c r="A30" s="2" t="s">
        <v>182</v>
      </c>
      <c r="B30" s="3">
        <f ca="1">IFERROR(__xludf.DUMMYFUNCTION("split(A30,"" "")"),0.131944444444444)</f>
        <v>0.131944444444444</v>
      </c>
      <c r="C30" s="3">
        <f ca="1">IFERROR(__xludf.DUMMYFUNCTION("""COMPUTED_VALUE"""),0.139583333333333)</f>
        <v>0.139583333333333</v>
      </c>
      <c r="D30" s="3">
        <f ca="1">IFERROR(__xludf.DUMMYFUNCTION("""COMPUTED_VALUE"""),0.144444444444444)</f>
        <v>0.14444444444444399</v>
      </c>
      <c r="E30" s="3">
        <f ca="1">IFERROR(__xludf.DUMMYFUNCTION("""COMPUTED_VALUE"""),0.148611111111111)</f>
        <v>0.148611111111111</v>
      </c>
      <c r="F30" s="3">
        <f ca="1">IFERROR(__xludf.DUMMYFUNCTION("""COMPUTED_VALUE"""),0.15625)</f>
        <v>0.15625</v>
      </c>
      <c r="G30" s="3">
        <f ca="1">IFERROR(__xludf.DUMMYFUNCTION("""COMPUTED_VALUE"""),0.1625)</f>
        <v>0.16250000000000001</v>
      </c>
      <c r="H30" s="3">
        <f ca="1">IFERROR(__xludf.DUMMYFUNCTION("""COMPUTED_VALUE"""),0.170138888888888)</f>
        <v>0.17013888888888801</v>
      </c>
      <c r="I30" s="3">
        <f ca="1">IFERROR(__xludf.DUMMYFUNCTION("""COMPUTED_VALUE"""),0.177083333333333)</f>
        <v>0.17708333333333301</v>
      </c>
      <c r="J30" s="3">
        <f ca="1">IFERROR(__xludf.DUMMYFUNCTION("""COMPUTED_VALUE"""),0.182638888888888)</f>
        <v>0.18263888888888799</v>
      </c>
      <c r="K30" s="3">
        <f ca="1">IFERROR(__xludf.DUMMYFUNCTION("""COMPUTED_VALUE"""),0.184027777777777)</f>
        <v>0.18402777777777701</v>
      </c>
      <c r="M30" s="3">
        <f t="shared" ref="M30:V30" ca="1" si="11">B30+0.5</f>
        <v>0.63194444444444398</v>
      </c>
      <c r="N30" s="3">
        <f t="shared" ca="1" si="11"/>
        <v>0.63958333333333295</v>
      </c>
      <c r="O30" s="3">
        <f t="shared" ca="1" si="11"/>
        <v>0.64444444444444393</v>
      </c>
      <c r="P30" s="3">
        <f t="shared" ca="1" si="11"/>
        <v>0.64861111111111103</v>
      </c>
      <c r="Q30" s="3">
        <f t="shared" ca="1" si="11"/>
        <v>0.65625</v>
      </c>
      <c r="R30" s="3">
        <f t="shared" ca="1" si="11"/>
        <v>0.66249999999999998</v>
      </c>
      <c r="S30" s="3">
        <f t="shared" ca="1" si="11"/>
        <v>0.67013888888888795</v>
      </c>
      <c r="T30" s="3">
        <f t="shared" ca="1" si="11"/>
        <v>0.67708333333333304</v>
      </c>
      <c r="U30" s="3">
        <f t="shared" ca="1" si="11"/>
        <v>0.68263888888888802</v>
      </c>
      <c r="V30" s="3">
        <f t="shared" ca="1" si="11"/>
        <v>0.68402777777777701</v>
      </c>
      <c r="W30" s="4">
        <f t="shared" ca="1" si="0"/>
        <v>5.2083333333333037E-2</v>
      </c>
    </row>
    <row r="31" spans="1:23" ht="15.75" customHeight="1" x14ac:dyDescent="0.15">
      <c r="A31" s="2" t="s">
        <v>183</v>
      </c>
      <c r="B31" s="3">
        <f ca="1">IFERROR(__xludf.DUMMYFUNCTION("split(A31,"" "")"),0.145833333333333)</f>
        <v>0.14583333333333301</v>
      </c>
      <c r="C31" s="3">
        <f ca="1">IFERROR(__xludf.DUMMYFUNCTION("""COMPUTED_VALUE"""),0.153472222222222)</f>
        <v>0.15347222222222201</v>
      </c>
      <c r="D31" s="3">
        <f ca="1">IFERROR(__xludf.DUMMYFUNCTION("""COMPUTED_VALUE"""),0.158333333333333)</f>
        <v>0.15833333333333299</v>
      </c>
      <c r="E31" s="3">
        <f ca="1">IFERROR(__xludf.DUMMYFUNCTION("""COMPUTED_VALUE"""),0.1625)</f>
        <v>0.16250000000000001</v>
      </c>
      <c r="F31" s="3">
        <f ca="1">IFERROR(__xludf.DUMMYFUNCTION("""COMPUTED_VALUE"""),0.170138888888888)</f>
        <v>0.17013888888888801</v>
      </c>
      <c r="G31" s="3">
        <f ca="1">IFERROR(__xludf.DUMMYFUNCTION("""COMPUTED_VALUE"""),0.176388888888888)</f>
        <v>0.17638888888888801</v>
      </c>
      <c r="H31" s="3">
        <f ca="1">IFERROR(__xludf.DUMMYFUNCTION("""COMPUTED_VALUE"""),0.184027777777777)</f>
        <v>0.18402777777777701</v>
      </c>
      <c r="I31" s="3">
        <f ca="1">IFERROR(__xludf.DUMMYFUNCTION("""COMPUTED_VALUE"""),0.190972222222222)</f>
        <v>0.19097222222222199</v>
      </c>
      <c r="J31" s="3">
        <f ca="1">IFERROR(__xludf.DUMMYFUNCTION("""COMPUTED_VALUE"""),0.196527777777777)</f>
        <v>0.196527777777777</v>
      </c>
      <c r="K31" s="3">
        <f ca="1">IFERROR(__xludf.DUMMYFUNCTION("""COMPUTED_VALUE"""),0.197916666666666)</f>
        <v>0.19791666666666599</v>
      </c>
      <c r="M31" s="3">
        <f t="shared" ref="M31:V31" ca="1" si="12">B31+0.5</f>
        <v>0.64583333333333304</v>
      </c>
      <c r="N31" s="3">
        <f t="shared" ca="1" si="12"/>
        <v>0.65347222222222201</v>
      </c>
      <c r="O31" s="3">
        <f t="shared" ca="1" si="12"/>
        <v>0.65833333333333299</v>
      </c>
      <c r="P31" s="3">
        <f t="shared" ca="1" si="12"/>
        <v>0.66249999999999998</v>
      </c>
      <c r="Q31" s="3">
        <f t="shared" ca="1" si="12"/>
        <v>0.67013888888888795</v>
      </c>
      <c r="R31" s="3">
        <f t="shared" ca="1" si="12"/>
        <v>0.67638888888888804</v>
      </c>
      <c r="S31" s="3">
        <f t="shared" ca="1" si="12"/>
        <v>0.68402777777777701</v>
      </c>
      <c r="T31" s="3">
        <f t="shared" ca="1" si="12"/>
        <v>0.69097222222222199</v>
      </c>
      <c r="U31" s="3">
        <f t="shared" ca="1" si="12"/>
        <v>0.69652777777777697</v>
      </c>
      <c r="V31" s="3">
        <f t="shared" ca="1" si="12"/>
        <v>0.69791666666666596</v>
      </c>
      <c r="W31" s="4">
        <f t="shared" ca="1" si="0"/>
        <v>5.2083333333332926E-2</v>
      </c>
    </row>
    <row r="32" spans="1:23" ht="15.75" customHeight="1" x14ac:dyDescent="0.15">
      <c r="A32" s="2" t="s">
        <v>184</v>
      </c>
      <c r="B32" s="3">
        <f ca="1">IFERROR(__xludf.DUMMYFUNCTION("split(A32,"" "")"),0.159722222222222)</f>
        <v>0.15972222222222199</v>
      </c>
      <c r="C32" s="3">
        <f ca="1">IFERROR(__xludf.DUMMYFUNCTION("""COMPUTED_VALUE"""),0.167361111111111)</f>
        <v>0.16736111111111099</v>
      </c>
      <c r="D32" s="3">
        <f ca="1">IFERROR(__xludf.DUMMYFUNCTION("""COMPUTED_VALUE"""),0.172222222222222)</f>
        <v>0.172222222222222</v>
      </c>
      <c r="E32" s="3">
        <f ca="1">IFERROR(__xludf.DUMMYFUNCTION("""COMPUTED_VALUE"""),0.176388888888888)</f>
        <v>0.17638888888888801</v>
      </c>
      <c r="F32" s="3">
        <f ca="1">IFERROR(__xludf.DUMMYFUNCTION("""COMPUTED_VALUE"""),0.184027777777777)</f>
        <v>0.18402777777777701</v>
      </c>
      <c r="G32" s="3">
        <f ca="1">IFERROR(__xludf.DUMMYFUNCTION("""COMPUTED_VALUE"""),0.190277777777777)</f>
        <v>0.19027777777777699</v>
      </c>
      <c r="H32" s="3">
        <f ca="1">IFERROR(__xludf.DUMMYFUNCTION("""COMPUTED_VALUE"""),0.197916666666666)</f>
        <v>0.19791666666666599</v>
      </c>
      <c r="I32" s="3">
        <f ca="1">IFERROR(__xludf.DUMMYFUNCTION("""COMPUTED_VALUE"""),0.204861111111111)</f>
        <v>0.20486111111111099</v>
      </c>
      <c r="J32" s="3">
        <f ca="1">IFERROR(__xludf.DUMMYFUNCTION("""COMPUTED_VALUE"""),0.210416666666666)</f>
        <v>0.210416666666666</v>
      </c>
      <c r="K32" s="3">
        <f ca="1">IFERROR(__xludf.DUMMYFUNCTION("""COMPUTED_VALUE"""),0.211805555555555)</f>
        <v>0.211805555555555</v>
      </c>
      <c r="M32" s="3">
        <f t="shared" ref="M32:V32" ca="1" si="13">B32+0.5</f>
        <v>0.65972222222222199</v>
      </c>
      <c r="N32" s="3">
        <f t="shared" ca="1" si="13"/>
        <v>0.66736111111111096</v>
      </c>
      <c r="O32" s="3">
        <f t="shared" ca="1" si="13"/>
        <v>0.67222222222222205</v>
      </c>
      <c r="P32" s="3">
        <f t="shared" ca="1" si="13"/>
        <v>0.67638888888888804</v>
      </c>
      <c r="Q32" s="3">
        <f t="shared" ca="1" si="13"/>
        <v>0.68402777777777701</v>
      </c>
      <c r="R32" s="3">
        <f t="shared" ca="1" si="13"/>
        <v>0.69027777777777699</v>
      </c>
      <c r="S32" s="3">
        <f t="shared" ca="1" si="13"/>
        <v>0.69791666666666596</v>
      </c>
      <c r="T32" s="3">
        <f t="shared" ca="1" si="13"/>
        <v>0.70486111111111094</v>
      </c>
      <c r="U32" s="3">
        <f t="shared" ca="1" si="13"/>
        <v>0.71041666666666603</v>
      </c>
      <c r="V32" s="3">
        <f t="shared" ca="1" si="13"/>
        <v>0.71180555555555503</v>
      </c>
      <c r="W32" s="4">
        <f t="shared" ca="1" si="0"/>
        <v>5.2083333333333037E-2</v>
      </c>
    </row>
    <row r="33" spans="1:23" ht="15.75" customHeight="1" x14ac:dyDescent="0.15">
      <c r="A33" s="2" t="s">
        <v>185</v>
      </c>
      <c r="B33" s="3">
        <f ca="1">IFERROR(__xludf.DUMMYFUNCTION("split(A33,"" "")"),0.173611111111111)</f>
        <v>0.17361111111111099</v>
      </c>
      <c r="C33" s="3">
        <f ca="1">IFERROR(__xludf.DUMMYFUNCTION("""COMPUTED_VALUE"""),0.18125)</f>
        <v>0.18124999999999999</v>
      </c>
      <c r="D33" s="3">
        <f ca="1">IFERROR(__xludf.DUMMYFUNCTION("""COMPUTED_VALUE"""),0.186111111111111)</f>
        <v>0.18611111111111101</v>
      </c>
      <c r="E33" s="3">
        <f ca="1">IFERROR(__xludf.DUMMYFUNCTION("""COMPUTED_VALUE"""),0.190277777777777)</f>
        <v>0.19027777777777699</v>
      </c>
      <c r="F33" s="3">
        <f ca="1">IFERROR(__xludf.DUMMYFUNCTION("""COMPUTED_VALUE"""),0.197916666666666)</f>
        <v>0.19791666666666599</v>
      </c>
      <c r="G33" s="3">
        <f ca="1">IFERROR(__xludf.DUMMYFUNCTION("""COMPUTED_VALUE"""),0.204166666666666)</f>
        <v>0.204166666666666</v>
      </c>
      <c r="H33" s="3">
        <f ca="1">IFERROR(__xludf.DUMMYFUNCTION("""COMPUTED_VALUE"""),0.211805555555555)</f>
        <v>0.211805555555555</v>
      </c>
      <c r="I33" s="3">
        <f ca="1">IFERROR(__xludf.DUMMYFUNCTION("""COMPUTED_VALUE"""),0.21875)</f>
        <v>0.21875</v>
      </c>
      <c r="J33" s="3">
        <f ca="1">IFERROR(__xludf.DUMMYFUNCTION("""COMPUTED_VALUE"""),0.224305555555555)</f>
        <v>0.22430555555555501</v>
      </c>
      <c r="K33" s="3">
        <f ca="1">IFERROR(__xludf.DUMMYFUNCTION("""COMPUTED_VALUE"""),0.225694444444444)</f>
        <v>0.225694444444444</v>
      </c>
      <c r="M33" s="3">
        <f t="shared" ref="M33:V33" ca="1" si="14">B33+0.5</f>
        <v>0.67361111111111094</v>
      </c>
      <c r="N33" s="3">
        <f t="shared" ca="1" si="14"/>
        <v>0.68125000000000002</v>
      </c>
      <c r="O33" s="3">
        <f t="shared" ca="1" si="14"/>
        <v>0.68611111111111101</v>
      </c>
      <c r="P33" s="3">
        <f t="shared" ca="1" si="14"/>
        <v>0.69027777777777699</v>
      </c>
      <c r="Q33" s="3">
        <f t="shared" ca="1" si="14"/>
        <v>0.69791666666666596</v>
      </c>
      <c r="R33" s="3">
        <f t="shared" ca="1" si="14"/>
        <v>0.70416666666666594</v>
      </c>
      <c r="S33" s="3">
        <f t="shared" ca="1" si="14"/>
        <v>0.71180555555555503</v>
      </c>
      <c r="T33" s="3">
        <f t="shared" ca="1" si="14"/>
        <v>0.71875</v>
      </c>
      <c r="U33" s="3">
        <f t="shared" ca="1" si="14"/>
        <v>0.72430555555555498</v>
      </c>
      <c r="V33" s="3">
        <f t="shared" ca="1" si="14"/>
        <v>0.72569444444444398</v>
      </c>
      <c r="W33" s="4">
        <f t="shared" ca="1" si="0"/>
        <v>5.2083333333333037E-2</v>
      </c>
    </row>
    <row r="34" spans="1:23" ht="15.75" customHeight="1" x14ac:dyDescent="0.15">
      <c r="A34" s="2" t="s">
        <v>186</v>
      </c>
      <c r="B34" s="3">
        <f ca="1">IFERROR(__xludf.DUMMYFUNCTION("split(A34,"" "")"),0.1875)</f>
        <v>0.1875</v>
      </c>
      <c r="C34" s="3">
        <f ca="1">IFERROR(__xludf.DUMMYFUNCTION("""COMPUTED_VALUE"""),0.195138888888888)</f>
        <v>0.195138888888888</v>
      </c>
      <c r="D34" s="3">
        <f ca="1">IFERROR(__xludf.DUMMYFUNCTION("""COMPUTED_VALUE"""),0.2)</f>
        <v>0.2</v>
      </c>
      <c r="E34" s="3">
        <f ca="1">IFERROR(__xludf.DUMMYFUNCTION("""COMPUTED_VALUE"""),0.204166666666666)</f>
        <v>0.204166666666666</v>
      </c>
      <c r="F34" s="3">
        <f ca="1">IFERROR(__xludf.DUMMYFUNCTION("""COMPUTED_VALUE"""),0.211805555555555)</f>
        <v>0.211805555555555</v>
      </c>
      <c r="G34" s="3">
        <f ca="1">IFERROR(__xludf.DUMMYFUNCTION("""COMPUTED_VALUE"""),0.218055555555555)</f>
        <v>0.218055555555555</v>
      </c>
      <c r="H34" s="3">
        <f ca="1">IFERROR(__xludf.DUMMYFUNCTION("""COMPUTED_VALUE"""),0.225694444444444)</f>
        <v>0.225694444444444</v>
      </c>
      <c r="I34" s="3">
        <f ca="1">IFERROR(__xludf.DUMMYFUNCTION("""COMPUTED_VALUE"""),0.232638888888888)</f>
        <v>0.23263888888888801</v>
      </c>
      <c r="J34" s="3">
        <f ca="1">IFERROR(__xludf.DUMMYFUNCTION("""COMPUTED_VALUE"""),0.238194444444444)</f>
        <v>0.23819444444444399</v>
      </c>
      <c r="K34" s="3">
        <f ca="1">IFERROR(__xludf.DUMMYFUNCTION("""COMPUTED_VALUE"""),0.239583333333333)</f>
        <v>0.23958333333333301</v>
      </c>
      <c r="M34" s="3">
        <f t="shared" ref="M34:V34" ca="1" si="15">B34+0.5</f>
        <v>0.6875</v>
      </c>
      <c r="N34" s="3">
        <f t="shared" ca="1" si="15"/>
        <v>0.69513888888888797</v>
      </c>
      <c r="O34" s="3">
        <f t="shared" ca="1" si="15"/>
        <v>0.7</v>
      </c>
      <c r="P34" s="3">
        <f t="shared" ca="1" si="15"/>
        <v>0.70416666666666594</v>
      </c>
      <c r="Q34" s="3">
        <f t="shared" ca="1" si="15"/>
        <v>0.71180555555555503</v>
      </c>
      <c r="R34" s="3">
        <f t="shared" ca="1" si="15"/>
        <v>0.718055555555555</v>
      </c>
      <c r="S34" s="3">
        <f t="shared" ca="1" si="15"/>
        <v>0.72569444444444398</v>
      </c>
      <c r="T34" s="3">
        <f t="shared" ca="1" si="15"/>
        <v>0.73263888888888795</v>
      </c>
      <c r="U34" s="3">
        <f t="shared" ca="1" si="15"/>
        <v>0.73819444444444393</v>
      </c>
      <c r="V34" s="3">
        <f t="shared" ca="1" si="15"/>
        <v>0.73958333333333304</v>
      </c>
      <c r="W34" s="4">
        <f t="shared" ca="1" si="0"/>
        <v>5.2083333333333037E-2</v>
      </c>
    </row>
    <row r="35" spans="1:23" ht="15.75" customHeight="1" x14ac:dyDescent="0.15">
      <c r="A35" s="2" t="s">
        <v>187</v>
      </c>
      <c r="B35" s="3">
        <f ca="1">IFERROR(__xludf.DUMMYFUNCTION("split(A35,"" "")"),0.201388888888888)</f>
        <v>0.20138888888888801</v>
      </c>
      <c r="C35" s="3">
        <f ca="1">IFERROR(__xludf.DUMMYFUNCTION("""COMPUTED_VALUE"""),0.20625)</f>
        <v>0.20624999999999999</v>
      </c>
      <c r="D35" s="3">
        <f ca="1">IFERROR(__xludf.DUMMYFUNCTION("""COMPUTED_VALUE"""),0.210416666666666)</f>
        <v>0.210416666666666</v>
      </c>
      <c r="E35" s="3">
        <f ca="1">IFERROR(__xludf.DUMMYFUNCTION("""COMPUTED_VALUE"""),0.213888888888888)</f>
        <v>0.21388888888888799</v>
      </c>
      <c r="F35" s="3">
        <f ca="1">IFERROR(__xludf.DUMMYFUNCTION("""COMPUTED_VALUE"""),0.220138888888888)</f>
        <v>0.220138888888888</v>
      </c>
      <c r="G35" s="3">
        <f ca="1">IFERROR(__xludf.DUMMYFUNCTION("""COMPUTED_VALUE"""),0.225)</f>
        <v>0.22500000000000001</v>
      </c>
      <c r="H35" s="3">
        <f ca="1">IFERROR(__xludf.DUMMYFUNCTION("""COMPUTED_VALUE"""),0.23125)</f>
        <v>0.23125000000000001</v>
      </c>
      <c r="I35" s="3">
        <f ca="1">IFERROR(__xludf.DUMMYFUNCTION("""COMPUTED_VALUE"""),0.236805555555555)</f>
        <v>0.23680555555555499</v>
      </c>
      <c r="J35" s="3">
        <f ca="1">IFERROR(__xludf.DUMMYFUNCTION("""COMPUTED_VALUE"""),0.242361111111111)</f>
        <v>0.242361111111111</v>
      </c>
      <c r="K35" s="3">
        <f ca="1">IFERROR(__xludf.DUMMYFUNCTION("""COMPUTED_VALUE"""),0.24375)</f>
        <v>0.24374999999999999</v>
      </c>
      <c r="M35" s="3">
        <f t="shared" ref="M35:V35" ca="1" si="16">B35+0.5</f>
        <v>0.70138888888888795</v>
      </c>
      <c r="N35" s="3">
        <f t="shared" ca="1" si="16"/>
        <v>0.70625000000000004</v>
      </c>
      <c r="O35" s="3">
        <f t="shared" ca="1" si="16"/>
        <v>0.71041666666666603</v>
      </c>
      <c r="P35" s="3">
        <f t="shared" ca="1" si="16"/>
        <v>0.71388888888888802</v>
      </c>
      <c r="Q35" s="3">
        <f t="shared" ca="1" si="16"/>
        <v>0.720138888888888</v>
      </c>
      <c r="R35" s="3">
        <f t="shared" ca="1" si="16"/>
        <v>0.72499999999999998</v>
      </c>
      <c r="S35" s="3">
        <f t="shared" ca="1" si="16"/>
        <v>0.73124999999999996</v>
      </c>
      <c r="T35" s="3">
        <f t="shared" ca="1" si="16"/>
        <v>0.73680555555555505</v>
      </c>
      <c r="U35" s="3">
        <f t="shared" ca="1" si="16"/>
        <v>0.74236111111111103</v>
      </c>
      <c r="V35" s="3">
        <f t="shared" ca="1" si="16"/>
        <v>0.74375000000000002</v>
      </c>
      <c r="W35" s="4">
        <f t="shared" ca="1" si="0"/>
        <v>4.2361111111112071E-2</v>
      </c>
    </row>
    <row r="36" spans="1:23" ht="15.75" customHeight="1" x14ac:dyDescent="0.15">
      <c r="A36" s="2" t="s">
        <v>188</v>
      </c>
      <c r="B36" s="3">
        <f ca="1">IFERROR(__xludf.DUMMYFUNCTION("split(A36,"" "")"),0.215277777777777)</f>
        <v>0.21527777777777701</v>
      </c>
      <c r="C36" s="3">
        <f ca="1">IFERROR(__xludf.DUMMYFUNCTION("""COMPUTED_VALUE"""),0.220138888888888)</f>
        <v>0.220138888888888</v>
      </c>
      <c r="D36" s="3">
        <f ca="1">IFERROR(__xludf.DUMMYFUNCTION("""COMPUTED_VALUE"""),0.224305555555555)</f>
        <v>0.22430555555555501</v>
      </c>
      <c r="E36" s="3">
        <f ca="1">IFERROR(__xludf.DUMMYFUNCTION("""COMPUTED_VALUE"""),0.227777777777777)</f>
        <v>0.227777777777777</v>
      </c>
      <c r="F36" s="3">
        <f ca="1">IFERROR(__xludf.DUMMYFUNCTION("""COMPUTED_VALUE"""),0.234027777777777)</f>
        <v>0.234027777777777</v>
      </c>
      <c r="G36" s="3">
        <f ca="1">IFERROR(__xludf.DUMMYFUNCTION("""COMPUTED_VALUE"""),0.238888888888888)</f>
        <v>0.23888888888888801</v>
      </c>
      <c r="H36" s="3">
        <f ca="1">IFERROR(__xludf.DUMMYFUNCTION("""COMPUTED_VALUE"""),0.245138888888888)</f>
        <v>0.24513888888888799</v>
      </c>
      <c r="I36" s="3">
        <f ca="1">IFERROR(__xludf.DUMMYFUNCTION("""COMPUTED_VALUE"""),0.250694444444444)</f>
        <v>0.250694444444444</v>
      </c>
      <c r="J36" s="3">
        <f ca="1">IFERROR(__xludf.DUMMYFUNCTION("""COMPUTED_VALUE"""),0.25625)</f>
        <v>0.25624999999999998</v>
      </c>
      <c r="K36" s="3">
        <f ca="1">IFERROR(__xludf.DUMMYFUNCTION("""COMPUTED_VALUE"""),0.257638888888888)</f>
        <v>0.25763888888888797</v>
      </c>
      <c r="M36" s="3">
        <f t="shared" ref="M36:V36" ca="1" si="17">B36+0.5</f>
        <v>0.71527777777777701</v>
      </c>
      <c r="N36" s="3">
        <f t="shared" ca="1" si="17"/>
        <v>0.720138888888888</v>
      </c>
      <c r="O36" s="3">
        <f t="shared" ca="1" si="17"/>
        <v>0.72430555555555498</v>
      </c>
      <c r="P36" s="3">
        <f t="shared" ca="1" si="17"/>
        <v>0.72777777777777697</v>
      </c>
      <c r="Q36" s="3">
        <f t="shared" ca="1" si="17"/>
        <v>0.73402777777777706</v>
      </c>
      <c r="R36" s="3">
        <f t="shared" ca="1" si="17"/>
        <v>0.73888888888888804</v>
      </c>
      <c r="S36" s="3">
        <f t="shared" ca="1" si="17"/>
        <v>0.74513888888888802</v>
      </c>
      <c r="T36" s="3">
        <f t="shared" ca="1" si="17"/>
        <v>0.750694444444444</v>
      </c>
      <c r="U36" s="3">
        <f t="shared" ca="1" si="17"/>
        <v>0.75624999999999998</v>
      </c>
      <c r="V36" s="3">
        <f t="shared" ca="1" si="17"/>
        <v>0.75763888888888797</v>
      </c>
      <c r="W36" s="4">
        <f t="shared" ca="1" si="0"/>
        <v>4.2361111111110961E-2</v>
      </c>
    </row>
    <row r="37" spans="1:23" ht="15.75" customHeight="1" x14ac:dyDescent="0.15">
      <c r="A37" s="2" t="s">
        <v>189</v>
      </c>
      <c r="B37" s="3">
        <f ca="1">IFERROR(__xludf.DUMMYFUNCTION("split(A37,"" "")"),0.229166666666666)</f>
        <v>0.22916666666666599</v>
      </c>
      <c r="C37" s="3">
        <f ca="1">IFERROR(__xludf.DUMMYFUNCTION("""COMPUTED_VALUE"""),0.234027777777777)</f>
        <v>0.234027777777777</v>
      </c>
      <c r="D37" s="3">
        <f ca="1">IFERROR(__xludf.DUMMYFUNCTION("""COMPUTED_VALUE"""),0.238194444444444)</f>
        <v>0.23819444444444399</v>
      </c>
      <c r="E37" s="3">
        <f ca="1">IFERROR(__xludf.DUMMYFUNCTION("""COMPUTED_VALUE"""),0.241666666666666)</f>
        <v>0.241666666666666</v>
      </c>
      <c r="F37" s="3">
        <f ca="1">IFERROR(__xludf.DUMMYFUNCTION("""COMPUTED_VALUE"""),0.247916666666666)</f>
        <v>0.24791666666666601</v>
      </c>
      <c r="G37" s="3">
        <f ca="1">IFERROR(__xludf.DUMMYFUNCTION("""COMPUTED_VALUE"""),0.252777777777777)</f>
        <v>0.25277777777777699</v>
      </c>
      <c r="H37" s="3">
        <f ca="1">IFERROR(__xludf.DUMMYFUNCTION("""COMPUTED_VALUE"""),0.259027777777777)</f>
        <v>0.25902777777777702</v>
      </c>
      <c r="I37" s="3">
        <f ca="1">IFERROR(__xludf.DUMMYFUNCTION("""COMPUTED_VALUE"""),0.264583333333333)</f>
        <v>0.264583333333333</v>
      </c>
      <c r="J37" s="3">
        <f ca="1">IFERROR(__xludf.DUMMYFUNCTION("""COMPUTED_VALUE"""),0.270138888888888)</f>
        <v>0.27013888888888798</v>
      </c>
      <c r="K37" s="3">
        <f ca="1">IFERROR(__xludf.DUMMYFUNCTION("""COMPUTED_VALUE"""),0.271527777777777)</f>
        <v>0.27152777777777698</v>
      </c>
      <c r="M37" s="3">
        <f t="shared" ref="M37:V37" ca="1" si="18">B37+0.5</f>
        <v>0.72916666666666596</v>
      </c>
      <c r="N37" s="3">
        <f t="shared" ca="1" si="18"/>
        <v>0.73402777777777706</v>
      </c>
      <c r="O37" s="3">
        <f t="shared" ca="1" si="18"/>
        <v>0.73819444444444393</v>
      </c>
      <c r="P37" s="3">
        <f t="shared" ca="1" si="18"/>
        <v>0.74166666666666603</v>
      </c>
      <c r="Q37" s="3">
        <f t="shared" ca="1" si="18"/>
        <v>0.74791666666666601</v>
      </c>
      <c r="R37" s="3">
        <f t="shared" ca="1" si="18"/>
        <v>0.75277777777777699</v>
      </c>
      <c r="S37" s="3">
        <f t="shared" ca="1" si="18"/>
        <v>0.75902777777777697</v>
      </c>
      <c r="T37" s="3">
        <f t="shared" ca="1" si="18"/>
        <v>0.76458333333333295</v>
      </c>
      <c r="U37" s="3">
        <f t="shared" ca="1" si="18"/>
        <v>0.77013888888888804</v>
      </c>
      <c r="V37" s="3">
        <f t="shared" ca="1" si="18"/>
        <v>0.77152777777777692</v>
      </c>
      <c r="W37" s="4">
        <f t="shared" ca="1" si="0"/>
        <v>4.2361111111110961E-2</v>
      </c>
    </row>
    <row r="38" spans="1:23" ht="15.75" customHeight="1" x14ac:dyDescent="0.15">
      <c r="A38" s="2" t="s">
        <v>190</v>
      </c>
      <c r="B38" s="3">
        <f ca="1">IFERROR(__xludf.DUMMYFUNCTION("split(A38,"" "")"),0.243055555555555)</f>
        <v>0.243055555555555</v>
      </c>
      <c r="C38" s="3">
        <f ca="1">IFERROR(__xludf.DUMMYFUNCTION("""COMPUTED_VALUE"""),0.247916666666666)</f>
        <v>0.24791666666666601</v>
      </c>
      <c r="D38" s="3">
        <f ca="1">IFERROR(__xludf.DUMMYFUNCTION("""COMPUTED_VALUE"""),0.252083333333333)</f>
        <v>0.25208333333333299</v>
      </c>
      <c r="E38" s="3">
        <f ca="1">IFERROR(__xludf.DUMMYFUNCTION("""COMPUTED_VALUE"""),0.255555555555555)</f>
        <v>0.25555555555555498</v>
      </c>
      <c r="F38" s="3">
        <f ca="1">IFERROR(__xludf.DUMMYFUNCTION("""COMPUTED_VALUE"""),0.261805555555555)</f>
        <v>0.26180555555555501</v>
      </c>
      <c r="G38" s="3">
        <f ca="1">IFERROR(__xludf.DUMMYFUNCTION("""COMPUTED_VALUE"""),0.266666666666666)</f>
        <v>0.266666666666666</v>
      </c>
      <c r="H38" s="3">
        <f ca="1">IFERROR(__xludf.DUMMYFUNCTION("""COMPUTED_VALUE"""),0.272916666666666)</f>
        <v>0.27291666666666597</v>
      </c>
      <c r="I38" s="3">
        <f ca="1">IFERROR(__xludf.DUMMYFUNCTION("""COMPUTED_VALUE"""),0.278472222222222)</f>
        <v>0.27847222222222201</v>
      </c>
      <c r="J38" s="3">
        <f ca="1">IFERROR(__xludf.DUMMYFUNCTION("""COMPUTED_VALUE"""),0.284027777777777)</f>
        <v>0.28402777777777699</v>
      </c>
      <c r="K38" s="3">
        <f ca="1">IFERROR(__xludf.DUMMYFUNCTION("""COMPUTED_VALUE"""),0.285416666666666)</f>
        <v>0.28541666666666599</v>
      </c>
      <c r="M38" s="3">
        <f t="shared" ref="M38:V38" ca="1" si="19">B38+0.5</f>
        <v>0.74305555555555503</v>
      </c>
      <c r="N38" s="3">
        <f t="shared" ca="1" si="19"/>
        <v>0.74791666666666601</v>
      </c>
      <c r="O38" s="3">
        <f t="shared" ca="1" si="19"/>
        <v>0.75208333333333299</v>
      </c>
      <c r="P38" s="3">
        <f t="shared" ca="1" si="19"/>
        <v>0.75555555555555498</v>
      </c>
      <c r="Q38" s="3">
        <f t="shared" ca="1" si="19"/>
        <v>0.76180555555555496</v>
      </c>
      <c r="R38" s="3">
        <f t="shared" ca="1" si="19"/>
        <v>0.76666666666666594</v>
      </c>
      <c r="S38" s="3">
        <f t="shared" ca="1" si="19"/>
        <v>0.77291666666666603</v>
      </c>
      <c r="T38" s="3">
        <f t="shared" ca="1" si="19"/>
        <v>0.77847222222222201</v>
      </c>
      <c r="U38" s="3">
        <f t="shared" ca="1" si="19"/>
        <v>0.78402777777777699</v>
      </c>
      <c r="V38" s="3">
        <f t="shared" ca="1" si="19"/>
        <v>0.78541666666666599</v>
      </c>
      <c r="W38" s="4">
        <f t="shared" ca="1" si="0"/>
        <v>4.2361111111110961E-2</v>
      </c>
    </row>
    <row r="39" spans="1:23" ht="15.75" customHeight="1" x14ac:dyDescent="0.15">
      <c r="A39" s="2" t="s">
        <v>191</v>
      </c>
      <c r="B39" s="3">
        <f ca="1">IFERROR(__xludf.DUMMYFUNCTION("split(A39,"" "")"),0.256944444444444)</f>
        <v>0.25694444444444398</v>
      </c>
      <c r="C39" s="3">
        <f ca="1">IFERROR(__xludf.DUMMYFUNCTION("""COMPUTED_VALUE"""),0.261805555555555)</f>
        <v>0.26180555555555501</v>
      </c>
      <c r="D39" s="3">
        <f ca="1">IFERROR(__xludf.DUMMYFUNCTION("""COMPUTED_VALUE"""),0.265972222222222)</f>
        <v>0.265972222222222</v>
      </c>
      <c r="E39" s="3">
        <f ca="1">IFERROR(__xludf.DUMMYFUNCTION("""COMPUTED_VALUE"""),0.269444444444444)</f>
        <v>0.26944444444444399</v>
      </c>
      <c r="F39" s="3">
        <f ca="1">IFERROR(__xludf.DUMMYFUNCTION("""COMPUTED_VALUE"""),0.275694444444444)</f>
        <v>0.27569444444444402</v>
      </c>
      <c r="G39" s="3">
        <f ca="1">IFERROR(__xludf.DUMMYFUNCTION("""COMPUTED_VALUE"""),0.280555555555555)</f>
        <v>0.280555555555555</v>
      </c>
      <c r="H39" s="3">
        <f ca="1">IFERROR(__xludf.DUMMYFUNCTION("""COMPUTED_VALUE"""),0.286805555555555)</f>
        <v>0.28680555555555498</v>
      </c>
      <c r="I39" s="3">
        <f ca="1">IFERROR(__xludf.DUMMYFUNCTION("""COMPUTED_VALUE"""),0.292361111111111)</f>
        <v>0.29236111111111102</v>
      </c>
      <c r="J39" s="3">
        <f ca="1">IFERROR(__xludf.DUMMYFUNCTION("""COMPUTED_VALUE"""),0.297916666666666)</f>
        <v>0.297916666666666</v>
      </c>
      <c r="K39" s="3">
        <f ca="1">IFERROR(__xludf.DUMMYFUNCTION("""COMPUTED_VALUE"""),0.299305555555555)</f>
        <v>0.29930555555555499</v>
      </c>
      <c r="M39" s="3">
        <f t="shared" ref="M39:V39" ca="1" si="20">B39+0.5</f>
        <v>0.75694444444444398</v>
      </c>
      <c r="N39" s="3">
        <f t="shared" ca="1" si="20"/>
        <v>0.76180555555555496</v>
      </c>
      <c r="O39" s="3">
        <f t="shared" ca="1" si="20"/>
        <v>0.76597222222222205</v>
      </c>
      <c r="P39" s="3">
        <f t="shared" ca="1" si="20"/>
        <v>0.76944444444444393</v>
      </c>
      <c r="Q39" s="3">
        <f t="shared" ca="1" si="20"/>
        <v>0.77569444444444402</v>
      </c>
      <c r="R39" s="3">
        <f t="shared" ca="1" si="20"/>
        <v>0.780555555555555</v>
      </c>
      <c r="S39" s="3">
        <f t="shared" ca="1" si="20"/>
        <v>0.78680555555555498</v>
      </c>
      <c r="T39" s="3">
        <f t="shared" ca="1" si="20"/>
        <v>0.79236111111111107</v>
      </c>
      <c r="U39" s="3">
        <f t="shared" ca="1" si="20"/>
        <v>0.79791666666666594</v>
      </c>
      <c r="V39" s="3">
        <f t="shared" ca="1" si="20"/>
        <v>0.79930555555555505</v>
      </c>
      <c r="W39" s="4">
        <f t="shared" ca="1" si="0"/>
        <v>4.2361111111111072E-2</v>
      </c>
    </row>
    <row r="40" spans="1:23" ht="15.75" customHeight="1" x14ac:dyDescent="0.15">
      <c r="A40" s="2" t="s">
        <v>192</v>
      </c>
      <c r="B40" s="3">
        <f ca="1">IFERROR(__xludf.DUMMYFUNCTION("split(A40,"" "")"),0.270833333333333)</f>
        <v>0.27083333333333298</v>
      </c>
      <c r="C40" s="3">
        <f ca="1">IFERROR(__xludf.DUMMYFUNCTION("""COMPUTED_VALUE"""),0.275694444444444)</f>
        <v>0.27569444444444402</v>
      </c>
      <c r="D40" s="3">
        <f ca="1">IFERROR(__xludf.DUMMYFUNCTION("""COMPUTED_VALUE"""),0.279861111111111)</f>
        <v>0.27986111111111101</v>
      </c>
      <c r="E40" s="3">
        <f ca="1">IFERROR(__xludf.DUMMYFUNCTION("""COMPUTED_VALUE"""),0.283333333333333)</f>
        <v>0.28333333333333299</v>
      </c>
      <c r="F40" s="3">
        <f ca="1">IFERROR(__xludf.DUMMYFUNCTION("""COMPUTED_VALUE"""),0.289583333333333)</f>
        <v>0.28958333333333303</v>
      </c>
      <c r="G40" s="3">
        <f ca="1">IFERROR(__xludf.DUMMYFUNCTION("""COMPUTED_VALUE"""),0.294444444444444)</f>
        <v>0.29444444444444401</v>
      </c>
      <c r="H40" s="3">
        <f ca="1">IFERROR(__xludf.DUMMYFUNCTION("""COMPUTED_VALUE"""),0.300694444444444)</f>
        <v>0.30069444444444399</v>
      </c>
      <c r="I40" s="3">
        <f ca="1">IFERROR(__xludf.DUMMYFUNCTION("""COMPUTED_VALUE"""),0.30625)</f>
        <v>0.30625000000000002</v>
      </c>
      <c r="J40" s="3">
        <f ca="1">IFERROR(__xludf.DUMMYFUNCTION("""COMPUTED_VALUE"""),0.311805555555555)</f>
        <v>0.311805555555555</v>
      </c>
      <c r="K40" s="3">
        <f ca="1">IFERROR(__xludf.DUMMYFUNCTION("""COMPUTED_VALUE"""),0.313194444444444)</f>
        <v>0.313194444444444</v>
      </c>
      <c r="M40" s="3">
        <f t="shared" ref="M40:V40" ca="1" si="21">B40+0.5</f>
        <v>0.77083333333333304</v>
      </c>
      <c r="N40" s="3">
        <f t="shared" ca="1" si="21"/>
        <v>0.77569444444444402</v>
      </c>
      <c r="O40" s="3">
        <f t="shared" ca="1" si="21"/>
        <v>0.77986111111111101</v>
      </c>
      <c r="P40" s="3">
        <f t="shared" ca="1" si="21"/>
        <v>0.78333333333333299</v>
      </c>
      <c r="Q40" s="3">
        <f t="shared" ca="1" si="21"/>
        <v>0.78958333333333308</v>
      </c>
      <c r="R40" s="3">
        <f t="shared" ca="1" si="21"/>
        <v>0.79444444444444406</v>
      </c>
      <c r="S40" s="3">
        <f t="shared" ca="1" si="21"/>
        <v>0.80069444444444393</v>
      </c>
      <c r="T40" s="3">
        <f t="shared" ca="1" si="21"/>
        <v>0.80625000000000002</v>
      </c>
      <c r="U40" s="3">
        <f t="shared" ca="1" si="21"/>
        <v>0.811805555555555</v>
      </c>
      <c r="V40" s="3">
        <f t="shared" ca="1" si="21"/>
        <v>0.813194444444444</v>
      </c>
      <c r="W40" s="4">
        <f t="shared" ca="1" si="0"/>
        <v>4.2361111111110961E-2</v>
      </c>
    </row>
    <row r="41" spans="1:23" ht="15.75" customHeight="1" x14ac:dyDescent="0.15">
      <c r="A41" s="2" t="s">
        <v>193</v>
      </c>
      <c r="B41" s="3">
        <f ca="1">IFERROR(__xludf.DUMMYFUNCTION("split(A41,"" "")"),0.284722222222222)</f>
        <v>0.28472222222222199</v>
      </c>
      <c r="C41" s="3">
        <f ca="1">IFERROR(__xludf.DUMMYFUNCTION("""COMPUTED_VALUE"""),0.289583333333333)</f>
        <v>0.28958333333333303</v>
      </c>
      <c r="D41" s="3">
        <f ca="1">IFERROR(__xludf.DUMMYFUNCTION("""COMPUTED_VALUE"""),0.29375)</f>
        <v>0.29375000000000001</v>
      </c>
      <c r="E41" s="3">
        <f ca="1">IFERROR(__xludf.DUMMYFUNCTION("""COMPUTED_VALUE"""),0.297222222222222)</f>
        <v>0.297222222222222</v>
      </c>
      <c r="F41" s="3">
        <f ca="1">IFERROR(__xludf.DUMMYFUNCTION("""COMPUTED_VALUE"""),0.303472222222222)</f>
        <v>0.30347222222222198</v>
      </c>
      <c r="G41" s="3">
        <f ca="1">IFERROR(__xludf.DUMMYFUNCTION("""COMPUTED_VALUE"""),0.308333333333333)</f>
        <v>0.30833333333333302</v>
      </c>
      <c r="H41" s="3">
        <f ca="1">IFERROR(__xludf.DUMMYFUNCTION("""COMPUTED_VALUE"""),0.314583333333333)</f>
        <v>0.31458333333333299</v>
      </c>
      <c r="I41" s="3">
        <f ca="1">IFERROR(__xludf.DUMMYFUNCTION("""COMPUTED_VALUE"""),0.320138888888888)</f>
        <v>0.32013888888888797</v>
      </c>
      <c r="J41" s="3">
        <f ca="1">IFERROR(__xludf.DUMMYFUNCTION("""COMPUTED_VALUE"""),0.325694444444444)</f>
        <v>0.32569444444444401</v>
      </c>
      <c r="K41" s="3">
        <f ca="1">IFERROR(__xludf.DUMMYFUNCTION("""COMPUTED_VALUE"""),0.327083333333333)</f>
        <v>0.327083333333333</v>
      </c>
      <c r="M41" s="3">
        <f t="shared" ref="M41:V41" ca="1" si="22">B41+0.5</f>
        <v>0.78472222222222199</v>
      </c>
      <c r="N41" s="3">
        <f t="shared" ca="1" si="22"/>
        <v>0.78958333333333308</v>
      </c>
      <c r="O41" s="3">
        <f t="shared" ca="1" si="22"/>
        <v>0.79374999999999996</v>
      </c>
      <c r="P41" s="3">
        <f t="shared" ca="1" si="22"/>
        <v>0.79722222222222205</v>
      </c>
      <c r="Q41" s="3">
        <f t="shared" ca="1" si="22"/>
        <v>0.80347222222222192</v>
      </c>
      <c r="R41" s="3">
        <f t="shared" ca="1" si="22"/>
        <v>0.80833333333333302</v>
      </c>
      <c r="S41" s="3">
        <f t="shared" ca="1" si="22"/>
        <v>0.81458333333333299</v>
      </c>
      <c r="T41" s="3">
        <f t="shared" ca="1" si="22"/>
        <v>0.82013888888888797</v>
      </c>
      <c r="U41" s="3">
        <f t="shared" ca="1" si="22"/>
        <v>0.82569444444444406</v>
      </c>
      <c r="V41" s="3">
        <f t="shared" ca="1" si="22"/>
        <v>0.82708333333333295</v>
      </c>
      <c r="W41" s="4">
        <f t="shared" ca="1" si="0"/>
        <v>4.2361111111110961E-2</v>
      </c>
    </row>
    <row r="42" spans="1:23" ht="15.75" customHeight="1" x14ac:dyDescent="0.15">
      <c r="A42" s="2" t="s">
        <v>194</v>
      </c>
      <c r="B42" s="3">
        <f ca="1">IFERROR(__xludf.DUMMYFUNCTION("split(A42,"" "")"),0.298611111111111)</f>
        <v>0.29861111111111099</v>
      </c>
      <c r="C42" s="3">
        <f ca="1">IFERROR(__xludf.DUMMYFUNCTION("""COMPUTED_VALUE"""),0.303472222222222)</f>
        <v>0.30347222222222198</v>
      </c>
      <c r="D42" s="3">
        <f ca="1">IFERROR(__xludf.DUMMYFUNCTION("""COMPUTED_VALUE"""),0.307638888888888)</f>
        <v>0.30763888888888802</v>
      </c>
      <c r="E42" s="3">
        <f ca="1">IFERROR(__xludf.DUMMYFUNCTION("""COMPUTED_VALUE"""),0.311111111111111)</f>
        <v>0.31111111111111101</v>
      </c>
      <c r="F42" s="3">
        <f ca="1">IFERROR(__xludf.DUMMYFUNCTION("""COMPUTED_VALUE"""),0.317361111111111)</f>
        <v>0.31736111111111098</v>
      </c>
      <c r="G42" s="3">
        <f ca="1">IFERROR(__xludf.DUMMYFUNCTION("""COMPUTED_VALUE"""),0.322222222222222)</f>
        <v>0.32222222222222202</v>
      </c>
      <c r="H42" s="3">
        <f ca="1">IFERROR(__xludf.DUMMYFUNCTION("""COMPUTED_VALUE"""),0.328472222222222)</f>
        <v>0.328472222222222</v>
      </c>
      <c r="I42" s="3">
        <f ca="1">IFERROR(__xludf.DUMMYFUNCTION("""COMPUTED_VALUE"""),0.334027777777777)</f>
        <v>0.33402777777777698</v>
      </c>
      <c r="J42" s="3">
        <f ca="1">IFERROR(__xludf.DUMMYFUNCTION("""COMPUTED_VALUE"""),0.339583333333333)</f>
        <v>0.33958333333333302</v>
      </c>
      <c r="K42" s="3">
        <f ca="1">IFERROR(__xludf.DUMMYFUNCTION("""COMPUTED_VALUE"""),0.340972222222222)</f>
        <v>0.34097222222222201</v>
      </c>
      <c r="M42" s="3">
        <f t="shared" ref="M42:V42" ca="1" si="23">B42+0.5</f>
        <v>0.79861111111111094</v>
      </c>
      <c r="N42" s="3">
        <f t="shared" ca="1" si="23"/>
        <v>0.80347222222222192</v>
      </c>
      <c r="O42" s="3">
        <f t="shared" ca="1" si="23"/>
        <v>0.80763888888888802</v>
      </c>
      <c r="P42" s="3">
        <f t="shared" ca="1" si="23"/>
        <v>0.81111111111111101</v>
      </c>
      <c r="Q42" s="3">
        <f t="shared" ca="1" si="23"/>
        <v>0.81736111111111098</v>
      </c>
      <c r="R42" s="3">
        <f t="shared" ca="1" si="23"/>
        <v>0.82222222222222197</v>
      </c>
      <c r="S42" s="3">
        <f t="shared" ca="1" si="23"/>
        <v>0.82847222222222205</v>
      </c>
      <c r="T42" s="3">
        <f t="shared" ca="1" si="23"/>
        <v>0.83402777777777692</v>
      </c>
      <c r="U42" s="3">
        <f t="shared" ca="1" si="23"/>
        <v>0.83958333333333302</v>
      </c>
      <c r="V42" s="3">
        <f t="shared" ca="1" si="23"/>
        <v>0.84097222222222201</v>
      </c>
      <c r="W42" s="4">
        <f t="shared" ca="1" si="0"/>
        <v>4.2361111111111072E-2</v>
      </c>
    </row>
    <row r="43" spans="1:23" ht="15.75" customHeight="1" x14ac:dyDescent="0.15">
      <c r="A43" s="2" t="s">
        <v>195</v>
      </c>
      <c r="B43" s="3">
        <f ca="1">IFERROR(__xludf.DUMMYFUNCTION("split(A43,"" "")"),0.3125)</f>
        <v>0.3125</v>
      </c>
      <c r="C43" s="3">
        <f ca="1">IFERROR(__xludf.DUMMYFUNCTION("""COMPUTED_VALUE"""),0.317361111111111)</f>
        <v>0.31736111111111098</v>
      </c>
      <c r="D43" s="3">
        <f ca="1">IFERROR(__xludf.DUMMYFUNCTION("""COMPUTED_VALUE"""),0.321527777777777)</f>
        <v>0.32152777777777702</v>
      </c>
      <c r="E43" s="3">
        <f ca="1">IFERROR(__xludf.DUMMYFUNCTION("""COMPUTED_VALUE"""),0.325)</f>
        <v>0.32500000000000001</v>
      </c>
      <c r="F43" s="3">
        <f ca="1">IFERROR(__xludf.DUMMYFUNCTION("""COMPUTED_VALUE"""),0.33125)</f>
        <v>0.33124999999999999</v>
      </c>
      <c r="G43" s="3">
        <f ca="1">IFERROR(__xludf.DUMMYFUNCTION("""COMPUTED_VALUE"""),0.336111111111111)</f>
        <v>0.33611111111111103</v>
      </c>
      <c r="H43" s="3">
        <f ca="1">IFERROR(__xludf.DUMMYFUNCTION("""COMPUTED_VALUE"""),0.342361111111111)</f>
        <v>0.34236111111111101</v>
      </c>
      <c r="I43" s="3">
        <f ca="1">IFERROR(__xludf.DUMMYFUNCTION("""COMPUTED_VALUE"""),0.347916666666666)</f>
        <v>0.34791666666666599</v>
      </c>
      <c r="J43" s="3">
        <f ca="1">IFERROR(__xludf.DUMMYFUNCTION("""COMPUTED_VALUE"""),0.353472222222222)</f>
        <v>0.35347222222222202</v>
      </c>
      <c r="K43" s="3">
        <f ca="1">IFERROR(__xludf.DUMMYFUNCTION("""COMPUTED_VALUE"""),0.354861111111111)</f>
        <v>0.35486111111111102</v>
      </c>
      <c r="M43" s="3">
        <f t="shared" ref="M43:V43" ca="1" si="24">B43+0.5</f>
        <v>0.8125</v>
      </c>
      <c r="N43" s="3">
        <f t="shared" ca="1" si="24"/>
        <v>0.81736111111111098</v>
      </c>
      <c r="O43" s="3">
        <f t="shared" ca="1" si="24"/>
        <v>0.82152777777777697</v>
      </c>
      <c r="P43" s="3">
        <f t="shared" ca="1" si="24"/>
        <v>0.82499999999999996</v>
      </c>
      <c r="Q43" s="3">
        <f t="shared" ca="1" si="24"/>
        <v>0.83125000000000004</v>
      </c>
      <c r="R43" s="3">
        <f t="shared" ca="1" si="24"/>
        <v>0.83611111111111103</v>
      </c>
      <c r="S43" s="3">
        <f t="shared" ca="1" si="24"/>
        <v>0.84236111111111101</v>
      </c>
      <c r="T43" s="3">
        <f t="shared" ca="1" si="24"/>
        <v>0.84791666666666599</v>
      </c>
      <c r="U43" s="3">
        <f t="shared" ca="1" si="24"/>
        <v>0.85347222222222197</v>
      </c>
      <c r="V43" s="3">
        <f t="shared" ca="1" si="24"/>
        <v>0.85486111111111107</v>
      </c>
      <c r="W43" s="4">
        <f t="shared" ca="1" si="0"/>
        <v>4.2361111111111072E-2</v>
      </c>
    </row>
    <row r="44" spans="1:23" ht="15.75" customHeight="1" x14ac:dyDescent="0.15">
      <c r="A44" s="2" t="s">
        <v>196</v>
      </c>
      <c r="B44" s="3">
        <f ca="1">IFERROR(__xludf.DUMMYFUNCTION("split(A44,"" "")"),0.326388888888888)</f>
        <v>0.32638888888888801</v>
      </c>
      <c r="C44" s="3">
        <f ca="1">IFERROR(__xludf.DUMMYFUNCTION("""COMPUTED_VALUE"""),0.33125)</f>
        <v>0.33124999999999999</v>
      </c>
      <c r="D44" s="3">
        <f ca="1">IFERROR(__xludf.DUMMYFUNCTION("""COMPUTED_VALUE"""),0.335416666666666)</f>
        <v>0.33541666666666597</v>
      </c>
      <c r="E44" s="3">
        <f ca="1">IFERROR(__xludf.DUMMYFUNCTION("""COMPUTED_VALUE"""),0.338888888888888)</f>
        <v>0.33888888888888802</v>
      </c>
      <c r="F44" s="3">
        <f ca="1">IFERROR(__xludf.DUMMYFUNCTION("""COMPUTED_VALUE"""),0.345138888888888)</f>
        <v>0.345138888888888</v>
      </c>
      <c r="G44" s="3">
        <f ca="1">IFERROR(__xludf.DUMMYFUNCTION("""COMPUTED_VALUE"""),0.35)</f>
        <v>0.35</v>
      </c>
      <c r="H44" s="3">
        <f ca="1">IFERROR(__xludf.DUMMYFUNCTION("""COMPUTED_VALUE"""),0.35625)</f>
        <v>0.35625000000000001</v>
      </c>
      <c r="I44" s="3">
        <f ca="1">IFERROR(__xludf.DUMMYFUNCTION("""COMPUTED_VALUE"""),0.361805555555555)</f>
        <v>0.36180555555555499</v>
      </c>
      <c r="J44" s="3">
        <f ca="1">IFERROR(__xludf.DUMMYFUNCTION("""COMPUTED_VALUE"""),0.367361111111111)</f>
        <v>0.36736111111111103</v>
      </c>
      <c r="K44" s="3">
        <f ca="1">IFERROR(__xludf.DUMMYFUNCTION("""COMPUTED_VALUE"""),0.36875)</f>
        <v>0.36875000000000002</v>
      </c>
      <c r="M44" s="3">
        <f t="shared" ref="M44:V44" ca="1" si="25">B44+0.5</f>
        <v>0.82638888888888795</v>
      </c>
      <c r="N44" s="3">
        <f t="shared" ca="1" si="25"/>
        <v>0.83125000000000004</v>
      </c>
      <c r="O44" s="3">
        <f t="shared" ca="1" si="25"/>
        <v>0.83541666666666603</v>
      </c>
      <c r="P44" s="3">
        <f t="shared" ca="1" si="25"/>
        <v>0.83888888888888802</v>
      </c>
      <c r="Q44" s="3">
        <f t="shared" ca="1" si="25"/>
        <v>0.845138888888888</v>
      </c>
      <c r="R44" s="3">
        <f t="shared" ca="1" si="25"/>
        <v>0.85</v>
      </c>
      <c r="S44" s="3">
        <f t="shared" ca="1" si="25"/>
        <v>0.85624999999999996</v>
      </c>
      <c r="T44" s="3">
        <f t="shared" ca="1" si="25"/>
        <v>0.86180555555555505</v>
      </c>
      <c r="U44" s="3">
        <f t="shared" ca="1" si="25"/>
        <v>0.86736111111111103</v>
      </c>
      <c r="V44" s="3">
        <f t="shared" ca="1" si="25"/>
        <v>0.86875000000000002</v>
      </c>
      <c r="W44" s="4">
        <f t="shared" ca="1" si="0"/>
        <v>4.2361111111112071E-2</v>
      </c>
    </row>
    <row r="45" spans="1:23" ht="15.75" customHeight="1" x14ac:dyDescent="0.15">
      <c r="A45" s="2" t="s">
        <v>197</v>
      </c>
      <c r="B45" s="3">
        <f ca="1">IFERROR(__xludf.DUMMYFUNCTION("split(A45,"" "")"),0.340277777777777)</f>
        <v>0.34027777777777701</v>
      </c>
      <c r="C45" s="3">
        <f ca="1">IFERROR(__xludf.DUMMYFUNCTION("""COMPUTED_VALUE"""),0.345138888888888)</f>
        <v>0.345138888888888</v>
      </c>
      <c r="D45" s="3">
        <f ca="1">IFERROR(__xludf.DUMMYFUNCTION("""COMPUTED_VALUE"""),0.348611111111111)</f>
        <v>0.34861111111111098</v>
      </c>
      <c r="E45" s="3">
        <f ca="1">IFERROR(__xludf.DUMMYFUNCTION("""COMPUTED_VALUE"""),0.352083333333333)</f>
        <v>0.35208333333333303</v>
      </c>
      <c r="F45" s="3">
        <f ca="1">IFERROR(__xludf.DUMMYFUNCTION("""COMPUTED_VALUE"""),0.358333333333333)</f>
        <v>0.358333333333333</v>
      </c>
      <c r="G45" s="3">
        <f ca="1">IFERROR(__xludf.DUMMYFUNCTION("""COMPUTED_VALUE"""),0.3625)</f>
        <v>0.36249999999999999</v>
      </c>
      <c r="H45" s="3">
        <f ca="1">IFERROR(__xludf.DUMMYFUNCTION("""COMPUTED_VALUE"""),0.368055555555555)</f>
        <v>0.36805555555555503</v>
      </c>
      <c r="I45" s="3">
        <f ca="1">IFERROR(__xludf.DUMMYFUNCTION("""COMPUTED_VALUE"""),0.372916666666666)</f>
        <v>0.37291666666666601</v>
      </c>
      <c r="J45" s="3">
        <f ca="1">IFERROR(__xludf.DUMMYFUNCTION("""COMPUTED_VALUE"""),0.377777777777777)</f>
        <v>0.37777777777777699</v>
      </c>
      <c r="K45" s="3">
        <f ca="1">IFERROR(__xludf.DUMMYFUNCTION("""COMPUTED_VALUE"""),0.378472222222222)</f>
        <v>0.37847222222222199</v>
      </c>
      <c r="M45" s="3">
        <f t="shared" ref="M45:V45" ca="1" si="26">B45+0.5</f>
        <v>0.84027777777777701</v>
      </c>
      <c r="N45" s="3">
        <f t="shared" ca="1" si="26"/>
        <v>0.845138888888888</v>
      </c>
      <c r="O45" s="3">
        <f t="shared" ca="1" si="26"/>
        <v>0.84861111111111098</v>
      </c>
      <c r="P45" s="3">
        <f t="shared" ca="1" si="26"/>
        <v>0.85208333333333308</v>
      </c>
      <c r="Q45" s="3">
        <f t="shared" ca="1" si="26"/>
        <v>0.85833333333333295</v>
      </c>
      <c r="R45" s="3">
        <f t="shared" ca="1" si="26"/>
        <v>0.86250000000000004</v>
      </c>
      <c r="S45" s="3">
        <f t="shared" ca="1" si="26"/>
        <v>0.86805555555555503</v>
      </c>
      <c r="T45" s="3">
        <f t="shared" ca="1" si="26"/>
        <v>0.87291666666666601</v>
      </c>
      <c r="U45" s="3">
        <f t="shared" ca="1" si="26"/>
        <v>0.87777777777777699</v>
      </c>
      <c r="V45" s="3">
        <f t="shared" ca="1" si="26"/>
        <v>0.87847222222222199</v>
      </c>
      <c r="W45" s="4">
        <f t="shared" ca="1" si="0"/>
        <v>3.8194444444444975E-2</v>
      </c>
    </row>
    <row r="46" spans="1:23" ht="15.75" customHeight="1" x14ac:dyDescent="0.15">
      <c r="A46" s="2" t="s">
        <v>198</v>
      </c>
      <c r="B46" s="3">
        <f ca="1">IFERROR(__xludf.DUMMYFUNCTION("split(A46,"" "")"),0.354166666666666)</f>
        <v>0.35416666666666602</v>
      </c>
      <c r="C46" s="3">
        <f ca="1">IFERROR(__xludf.DUMMYFUNCTION("""COMPUTED_VALUE"""),0.359027777777777)</f>
        <v>0.359027777777777</v>
      </c>
      <c r="D46" s="3">
        <f ca="1">IFERROR(__xludf.DUMMYFUNCTION("""COMPUTED_VALUE"""),0.3625)</f>
        <v>0.36249999999999999</v>
      </c>
      <c r="E46" s="3">
        <f ca="1">IFERROR(__xludf.DUMMYFUNCTION("""COMPUTED_VALUE"""),0.365972222222222)</f>
        <v>0.36597222222222198</v>
      </c>
      <c r="F46" s="3">
        <f ca="1">IFERROR(__xludf.DUMMYFUNCTION("""COMPUTED_VALUE"""),0.372222222222222)</f>
        <v>0.37222222222222201</v>
      </c>
      <c r="G46" s="3">
        <f ca="1">IFERROR(__xludf.DUMMYFUNCTION("""COMPUTED_VALUE"""),0.376388888888888)</f>
        <v>0.376388888888888</v>
      </c>
      <c r="H46" s="3">
        <f ca="1">IFERROR(__xludf.DUMMYFUNCTION("""COMPUTED_VALUE"""),0.381944444444444)</f>
        <v>0.38194444444444398</v>
      </c>
      <c r="I46" s="3">
        <f ca="1">IFERROR(__xludf.DUMMYFUNCTION("""COMPUTED_VALUE"""),0.386805555555555)</f>
        <v>0.38680555555555501</v>
      </c>
      <c r="J46" s="3">
        <f ca="1">IFERROR(__xludf.DUMMYFUNCTION("""COMPUTED_VALUE"""),0.391666666666666)</f>
        <v>0.391666666666666</v>
      </c>
      <c r="K46" s="3">
        <f ca="1">IFERROR(__xludf.DUMMYFUNCTION("""COMPUTED_VALUE"""),0.392361111111111)</f>
        <v>0.39236111111111099</v>
      </c>
      <c r="M46" s="3">
        <f t="shared" ref="M46:V46" ca="1" si="27">B46+0.5</f>
        <v>0.85416666666666607</v>
      </c>
      <c r="N46" s="3">
        <f t="shared" ca="1" si="27"/>
        <v>0.85902777777777706</v>
      </c>
      <c r="O46" s="3">
        <f t="shared" ca="1" si="27"/>
        <v>0.86250000000000004</v>
      </c>
      <c r="P46" s="3">
        <f t="shared" ca="1" si="27"/>
        <v>0.86597222222222192</v>
      </c>
      <c r="Q46" s="3">
        <f t="shared" ca="1" si="27"/>
        <v>0.87222222222222201</v>
      </c>
      <c r="R46" s="3">
        <f t="shared" ca="1" si="27"/>
        <v>0.876388888888888</v>
      </c>
      <c r="S46" s="3">
        <f t="shared" ca="1" si="27"/>
        <v>0.88194444444444398</v>
      </c>
      <c r="T46" s="3">
        <f t="shared" ca="1" si="27"/>
        <v>0.88680555555555496</v>
      </c>
      <c r="U46" s="3">
        <f t="shared" ca="1" si="27"/>
        <v>0.89166666666666594</v>
      </c>
      <c r="V46" s="3">
        <f t="shared" ca="1" si="27"/>
        <v>0.89236111111111094</v>
      </c>
      <c r="W46" s="4">
        <f t="shared" ca="1" si="0"/>
        <v>3.8194444444444864E-2</v>
      </c>
    </row>
    <row r="47" spans="1:23" ht="15.75" customHeight="1" x14ac:dyDescent="0.15">
      <c r="A47" s="2" t="s">
        <v>199</v>
      </c>
      <c r="B47" s="3">
        <f ca="1">IFERROR(__xludf.DUMMYFUNCTION("split(A47,"" "")"),0.368055555555555)</f>
        <v>0.36805555555555503</v>
      </c>
      <c r="C47" s="3">
        <f ca="1">IFERROR(__xludf.DUMMYFUNCTION("""COMPUTED_VALUE"""),0.372916666666666)</f>
        <v>0.37291666666666601</v>
      </c>
      <c r="D47" s="3">
        <f ca="1">IFERROR(__xludf.DUMMYFUNCTION("""COMPUTED_VALUE"""),0.376388888888888)</f>
        <v>0.376388888888888</v>
      </c>
      <c r="E47" s="3">
        <f ca="1">IFERROR(__xludf.DUMMYFUNCTION("""COMPUTED_VALUE"""),0.379861111111111)</f>
        <v>0.37986111111111098</v>
      </c>
      <c r="F47" s="3">
        <f ca="1">IFERROR(__xludf.DUMMYFUNCTION("""COMPUTED_VALUE"""),0.386111111111111)</f>
        <v>0.38611111111111102</v>
      </c>
      <c r="G47" s="3">
        <f ca="1">IFERROR(__xludf.DUMMYFUNCTION("""COMPUTED_VALUE"""),0.390277777777777)</f>
        <v>0.390277777777777</v>
      </c>
      <c r="H47" s="3">
        <f ca="1">IFERROR(__xludf.DUMMYFUNCTION("""COMPUTED_VALUE"""),0.395833333333333)</f>
        <v>0.39583333333333298</v>
      </c>
      <c r="I47" s="3">
        <f ca="1">IFERROR(__xludf.DUMMYFUNCTION("""COMPUTED_VALUE"""),0.400694444444444)</f>
        <v>0.40069444444444402</v>
      </c>
      <c r="J47" s="3">
        <f ca="1">IFERROR(__xludf.DUMMYFUNCTION("""COMPUTED_VALUE"""),0.405555555555555)</f>
        <v>0.405555555555555</v>
      </c>
      <c r="K47" s="3">
        <f ca="1">IFERROR(__xludf.DUMMYFUNCTION("""COMPUTED_VALUE"""),0.40625)</f>
        <v>0.40625</v>
      </c>
      <c r="M47" s="3">
        <f t="shared" ref="M47:V47" ca="1" si="28">B47+0.5</f>
        <v>0.86805555555555503</v>
      </c>
      <c r="N47" s="3">
        <f t="shared" ca="1" si="28"/>
        <v>0.87291666666666601</v>
      </c>
      <c r="O47" s="3">
        <f t="shared" ca="1" si="28"/>
        <v>0.876388888888888</v>
      </c>
      <c r="P47" s="3">
        <f t="shared" ca="1" si="28"/>
        <v>0.87986111111111098</v>
      </c>
      <c r="Q47" s="3">
        <f t="shared" ca="1" si="28"/>
        <v>0.88611111111111107</v>
      </c>
      <c r="R47" s="3">
        <f t="shared" ca="1" si="28"/>
        <v>0.89027777777777706</v>
      </c>
      <c r="S47" s="3">
        <f t="shared" ca="1" si="28"/>
        <v>0.89583333333333304</v>
      </c>
      <c r="T47" s="3">
        <f t="shared" ca="1" si="28"/>
        <v>0.90069444444444402</v>
      </c>
      <c r="U47" s="3">
        <f t="shared" ca="1" si="28"/>
        <v>0.905555555555555</v>
      </c>
      <c r="V47" s="3">
        <f t="shared" ca="1" si="28"/>
        <v>0.90625</v>
      </c>
      <c r="W47" s="4">
        <f t="shared" ca="1" si="0"/>
        <v>3.8194444444444975E-2</v>
      </c>
    </row>
    <row r="48" spans="1:23" ht="15.75" customHeight="1" x14ac:dyDescent="0.15">
      <c r="A48" s="2" t="s">
        <v>200</v>
      </c>
      <c r="B48" s="3">
        <f ca="1">IFERROR(__xludf.DUMMYFUNCTION("split(A48,"" "")"),0.381944444444444)</f>
        <v>0.38194444444444398</v>
      </c>
      <c r="C48" s="3">
        <f ca="1">IFERROR(__xludf.DUMMYFUNCTION("""COMPUTED_VALUE"""),0.386805555555555)</f>
        <v>0.38680555555555501</v>
      </c>
      <c r="D48" s="3">
        <f ca="1">IFERROR(__xludf.DUMMYFUNCTION("""COMPUTED_VALUE"""),0.390277777777777)</f>
        <v>0.390277777777777</v>
      </c>
      <c r="E48" s="3">
        <f ca="1">IFERROR(__xludf.DUMMYFUNCTION("""COMPUTED_VALUE"""),0.39375)</f>
        <v>0.39374999999999999</v>
      </c>
      <c r="F48" s="3">
        <f ca="1">IFERROR(__xludf.DUMMYFUNCTION("""COMPUTED_VALUE"""),0.4)</f>
        <v>0.4</v>
      </c>
      <c r="G48" s="3">
        <f ca="1">IFERROR(__xludf.DUMMYFUNCTION("""COMPUTED_VALUE"""),0.404166666666666)</f>
        <v>0.40416666666666601</v>
      </c>
      <c r="H48" s="3">
        <f ca="1">IFERROR(__xludf.DUMMYFUNCTION("""COMPUTED_VALUE"""),0.409722222222222)</f>
        <v>0.40972222222222199</v>
      </c>
      <c r="I48" s="3">
        <f ca="1">IFERROR(__xludf.DUMMYFUNCTION("""COMPUTED_VALUE"""),0.414583333333333)</f>
        <v>0.41458333333333303</v>
      </c>
      <c r="J48" s="3">
        <f ca="1">IFERROR(__xludf.DUMMYFUNCTION("""COMPUTED_VALUE"""),0.419444444444444)</f>
        <v>0.41944444444444401</v>
      </c>
      <c r="K48" s="3">
        <f ca="1">IFERROR(__xludf.DUMMYFUNCTION("""COMPUTED_VALUE"""),0.420138888888888)</f>
        <v>0.42013888888888801</v>
      </c>
      <c r="M48" s="3">
        <f t="shared" ref="M48:V48" ca="1" si="29">B48+0.5</f>
        <v>0.88194444444444398</v>
      </c>
      <c r="N48" s="3">
        <f t="shared" ca="1" si="29"/>
        <v>0.88680555555555496</v>
      </c>
      <c r="O48" s="3">
        <f t="shared" ca="1" si="29"/>
        <v>0.89027777777777706</v>
      </c>
      <c r="P48" s="3">
        <f t="shared" ca="1" si="29"/>
        <v>0.89375000000000004</v>
      </c>
      <c r="Q48" s="3">
        <f t="shared" ca="1" si="29"/>
        <v>0.9</v>
      </c>
      <c r="R48" s="3">
        <f t="shared" ca="1" si="29"/>
        <v>0.90416666666666601</v>
      </c>
      <c r="S48" s="3">
        <f t="shared" ca="1" si="29"/>
        <v>0.90972222222222199</v>
      </c>
      <c r="T48" s="3">
        <f t="shared" ca="1" si="29"/>
        <v>0.91458333333333308</v>
      </c>
      <c r="U48" s="3">
        <f t="shared" ca="1" si="29"/>
        <v>0.91944444444444406</v>
      </c>
      <c r="V48" s="3">
        <f t="shared" ca="1" si="29"/>
        <v>0.92013888888888795</v>
      </c>
      <c r="W48" s="4">
        <f t="shared" ca="1" si="0"/>
        <v>3.8194444444443976E-2</v>
      </c>
    </row>
    <row r="49" spans="1:23" ht="15.75" customHeight="1" x14ac:dyDescent="0.15">
      <c r="A49" s="2" t="s">
        <v>201</v>
      </c>
      <c r="B49" s="3">
        <f ca="1">IFERROR(__xludf.DUMMYFUNCTION("split(A49,"" "")"),0.395833333333333)</f>
        <v>0.39583333333333298</v>
      </c>
      <c r="C49" s="3">
        <f ca="1">IFERROR(__xludf.DUMMYFUNCTION("""COMPUTED_VALUE"""),0.400694444444444)</f>
        <v>0.40069444444444402</v>
      </c>
      <c r="D49" s="3">
        <f ca="1">IFERROR(__xludf.DUMMYFUNCTION("""COMPUTED_VALUE"""),0.404166666666666)</f>
        <v>0.40416666666666601</v>
      </c>
      <c r="E49" s="3">
        <f ca="1">IFERROR(__xludf.DUMMYFUNCTION("""COMPUTED_VALUE"""),0.407638888888888)</f>
        <v>0.407638888888888</v>
      </c>
      <c r="F49" s="3">
        <f ca="1">IFERROR(__xludf.DUMMYFUNCTION("""COMPUTED_VALUE"""),0.413888888888888)</f>
        <v>0.41388888888888797</v>
      </c>
      <c r="G49" s="3">
        <f ca="1">IFERROR(__xludf.DUMMYFUNCTION("""COMPUTED_VALUE"""),0.418055555555555)</f>
        <v>0.41805555555555501</v>
      </c>
      <c r="H49" s="3">
        <f ca="1">IFERROR(__xludf.DUMMYFUNCTION("""COMPUTED_VALUE"""),0.423611111111111)</f>
        <v>0.42361111111111099</v>
      </c>
      <c r="I49" s="3">
        <f ca="1">IFERROR(__xludf.DUMMYFUNCTION("""COMPUTED_VALUE"""),0.428472222222222)</f>
        <v>0.42847222222222198</v>
      </c>
      <c r="J49" s="3">
        <f ca="1">IFERROR(__xludf.DUMMYFUNCTION("""COMPUTED_VALUE"""),0.433333333333333)</f>
        <v>0.43333333333333302</v>
      </c>
      <c r="K49" s="3">
        <f ca="1">IFERROR(__xludf.DUMMYFUNCTION("""COMPUTED_VALUE"""),0.434027777777777)</f>
        <v>0.43402777777777701</v>
      </c>
      <c r="M49" s="3">
        <f t="shared" ref="M49:V49" ca="1" si="30">B49+0.5</f>
        <v>0.89583333333333304</v>
      </c>
      <c r="N49" s="3">
        <f t="shared" ca="1" si="30"/>
        <v>0.90069444444444402</v>
      </c>
      <c r="O49" s="3">
        <f t="shared" ca="1" si="30"/>
        <v>0.90416666666666601</v>
      </c>
      <c r="P49" s="3">
        <f t="shared" ca="1" si="30"/>
        <v>0.907638888888888</v>
      </c>
      <c r="Q49" s="3">
        <f t="shared" ca="1" si="30"/>
        <v>0.91388888888888797</v>
      </c>
      <c r="R49" s="3">
        <f t="shared" ca="1" si="30"/>
        <v>0.91805555555555496</v>
      </c>
      <c r="S49" s="3">
        <f t="shared" ca="1" si="30"/>
        <v>0.92361111111111094</v>
      </c>
      <c r="T49" s="3">
        <f t="shared" ca="1" si="30"/>
        <v>0.92847222222222192</v>
      </c>
      <c r="U49" s="3">
        <f t="shared" ca="1" si="30"/>
        <v>0.93333333333333302</v>
      </c>
      <c r="V49" s="3">
        <f t="shared" ca="1" si="30"/>
        <v>0.93402777777777701</v>
      </c>
      <c r="W49" s="4">
        <f t="shared" ca="1" si="0"/>
        <v>3.8194444444443976E-2</v>
      </c>
    </row>
    <row r="50" spans="1:23" ht="15.75" customHeight="1" x14ac:dyDescent="0.15">
      <c r="A50" s="2" t="s">
        <v>202</v>
      </c>
      <c r="B50" s="3">
        <f ca="1">IFERROR(__xludf.DUMMYFUNCTION("split(A50,"" "")"),0.409722222222222)</f>
        <v>0.40972222222222199</v>
      </c>
      <c r="C50" s="3">
        <f ca="1">IFERROR(__xludf.DUMMYFUNCTION("""COMPUTED_VALUE"""),0.414583333333333)</f>
        <v>0.41458333333333303</v>
      </c>
      <c r="D50" s="3">
        <f ca="1">IFERROR(__xludf.DUMMYFUNCTION("""COMPUTED_VALUE"""),0.418055555555555)</f>
        <v>0.41805555555555501</v>
      </c>
      <c r="E50" s="3">
        <f ca="1">IFERROR(__xludf.DUMMYFUNCTION("""COMPUTED_VALUE"""),0.421527777777777)</f>
        <v>0.421527777777777</v>
      </c>
      <c r="F50" s="3">
        <f ca="1">IFERROR(__xludf.DUMMYFUNCTION("""COMPUTED_VALUE"""),0.427777777777777)</f>
        <v>0.42777777777777698</v>
      </c>
      <c r="G50" s="3">
        <f ca="1">IFERROR(__xludf.DUMMYFUNCTION("""COMPUTED_VALUE"""),0.431944444444444)</f>
        <v>0.43194444444444402</v>
      </c>
      <c r="H50" s="3">
        <f ca="1">IFERROR(__xludf.DUMMYFUNCTION("""COMPUTED_VALUE"""),0.4375)</f>
        <v>0.4375</v>
      </c>
      <c r="I50" s="3">
        <f ca="1">IFERROR(__xludf.DUMMYFUNCTION("""COMPUTED_VALUE"""),0.442361111111111)</f>
        <v>0.44236111111111098</v>
      </c>
      <c r="J50" s="3">
        <f ca="1">IFERROR(__xludf.DUMMYFUNCTION("""COMPUTED_VALUE"""),0.447222222222222)</f>
        <v>0.44722222222222202</v>
      </c>
      <c r="K50" s="3">
        <f ca="1">IFERROR(__xludf.DUMMYFUNCTION("""COMPUTED_VALUE"""),0.447916666666666)</f>
        <v>0.44791666666666602</v>
      </c>
      <c r="M50" s="3">
        <f t="shared" ref="M50:V50" ca="1" si="31">B50+0.5</f>
        <v>0.90972222222222199</v>
      </c>
      <c r="N50" s="3">
        <f t="shared" ca="1" si="31"/>
        <v>0.91458333333333308</v>
      </c>
      <c r="O50" s="3">
        <f t="shared" ca="1" si="31"/>
        <v>0.91805555555555496</v>
      </c>
      <c r="P50" s="3">
        <f t="shared" ca="1" si="31"/>
        <v>0.92152777777777706</v>
      </c>
      <c r="Q50" s="3">
        <f t="shared" ca="1" si="31"/>
        <v>0.92777777777777692</v>
      </c>
      <c r="R50" s="3">
        <f t="shared" ca="1" si="31"/>
        <v>0.93194444444444402</v>
      </c>
      <c r="S50" s="3">
        <f t="shared" ca="1" si="31"/>
        <v>0.9375</v>
      </c>
      <c r="T50" s="3">
        <f t="shared" ca="1" si="31"/>
        <v>0.94236111111111098</v>
      </c>
      <c r="U50" s="3">
        <f t="shared" ca="1" si="31"/>
        <v>0.94722222222222197</v>
      </c>
      <c r="V50" s="3">
        <f t="shared" ca="1" si="31"/>
        <v>0.94791666666666607</v>
      </c>
      <c r="W50" s="4">
        <f t="shared" ca="1" si="0"/>
        <v>3.8194444444444087E-2</v>
      </c>
    </row>
    <row r="51" spans="1:23" ht="15.75" customHeight="1" x14ac:dyDescent="0.15">
      <c r="A51" s="2" t="s">
        <v>203</v>
      </c>
      <c r="B51" s="3">
        <f ca="1">IFERROR(__xludf.DUMMYFUNCTION("split(A51,"" "")"),0.423611111111111)</f>
        <v>0.42361111111111099</v>
      </c>
      <c r="C51" s="3">
        <f ca="1">IFERROR(__xludf.DUMMYFUNCTION("""COMPUTED_VALUE"""),0.428472222222222)</f>
        <v>0.42847222222222198</v>
      </c>
      <c r="D51" s="3">
        <f ca="1">IFERROR(__xludf.DUMMYFUNCTION("""COMPUTED_VALUE"""),0.431944444444444)</f>
        <v>0.43194444444444402</v>
      </c>
      <c r="E51" s="3">
        <f ca="1">IFERROR(__xludf.DUMMYFUNCTION("""COMPUTED_VALUE"""),0.435416666666666)</f>
        <v>0.43541666666666601</v>
      </c>
      <c r="F51" s="3">
        <f ca="1">IFERROR(__xludf.DUMMYFUNCTION("""COMPUTED_VALUE"""),0.440972222222222)</f>
        <v>0.44097222222222199</v>
      </c>
      <c r="G51" s="3">
        <f ca="1">IFERROR(__xludf.DUMMYFUNCTION("""COMPUTED_VALUE"""),0.445138888888888)</f>
        <v>0.44513888888888797</v>
      </c>
      <c r="H51" s="3">
        <f ca="1">IFERROR(__xludf.DUMMYFUNCTION("""COMPUTED_VALUE"""),0.45)</f>
        <v>0.45</v>
      </c>
      <c r="I51" s="3">
        <f ca="1">IFERROR(__xludf.DUMMYFUNCTION("""COMPUTED_VALUE"""),0.454861111111111)</f>
        <v>0.45486111111111099</v>
      </c>
      <c r="J51" s="3">
        <f ca="1">IFERROR(__xludf.DUMMYFUNCTION("""COMPUTED_VALUE"""),0.459027777777777)</f>
        <v>0.45902777777777698</v>
      </c>
      <c r="K51" s="3">
        <f ca="1">IFERROR(__xludf.DUMMYFUNCTION("""COMPUTED_VALUE"""),0.459722222222222)</f>
        <v>0.45972222222222198</v>
      </c>
      <c r="M51" s="3">
        <f t="shared" ref="M51:V51" ca="1" si="32">B51+0.5</f>
        <v>0.92361111111111094</v>
      </c>
      <c r="N51" s="3">
        <f t="shared" ca="1" si="32"/>
        <v>0.92847222222222192</v>
      </c>
      <c r="O51" s="3">
        <f t="shared" ca="1" si="32"/>
        <v>0.93194444444444402</v>
      </c>
      <c r="P51" s="3">
        <f t="shared" ca="1" si="32"/>
        <v>0.93541666666666601</v>
      </c>
      <c r="Q51" s="3">
        <f t="shared" ca="1" si="32"/>
        <v>0.94097222222222199</v>
      </c>
      <c r="R51" s="3">
        <f t="shared" ca="1" si="32"/>
        <v>0.94513888888888797</v>
      </c>
      <c r="S51" s="3">
        <f t="shared" ca="1" si="32"/>
        <v>0.95</v>
      </c>
      <c r="T51" s="3">
        <f t="shared" ca="1" si="32"/>
        <v>0.95486111111111094</v>
      </c>
      <c r="U51" s="3">
        <f t="shared" ca="1" si="32"/>
        <v>0.95902777777777692</v>
      </c>
      <c r="V51" s="3">
        <f t="shared" ca="1" si="32"/>
        <v>0.95972222222222192</v>
      </c>
      <c r="W51" s="4">
        <f t="shared" ca="1" si="0"/>
        <v>3.6111111111110983E-2</v>
      </c>
    </row>
    <row r="52" spans="1:23" ht="15.75" customHeight="1" x14ac:dyDescent="0.15">
      <c r="A52" s="2" t="s">
        <v>204</v>
      </c>
      <c r="B52" s="3">
        <f ca="1">IFERROR(__xludf.DUMMYFUNCTION("split(A52,"" "")"),0.444444444444444)</f>
        <v>0.44444444444444398</v>
      </c>
      <c r="C52" s="3">
        <f ca="1">IFERROR(__xludf.DUMMYFUNCTION("""COMPUTED_VALUE"""),0.449305555555555)</f>
        <v>0.44930555555555501</v>
      </c>
      <c r="D52" s="3">
        <f ca="1">IFERROR(__xludf.DUMMYFUNCTION("""COMPUTED_VALUE"""),0.452777777777777)</f>
        <v>0.452777777777777</v>
      </c>
      <c r="E52" s="3">
        <f ca="1">IFERROR(__xludf.DUMMYFUNCTION("""COMPUTED_VALUE"""),0.45625)</f>
        <v>0.45624999999999999</v>
      </c>
      <c r="F52" s="3">
        <f ca="1">IFERROR(__xludf.DUMMYFUNCTION("""COMPUTED_VALUE"""),0.461805555555555)</f>
        <v>0.46180555555555503</v>
      </c>
      <c r="G52" s="3">
        <f ca="1">IFERROR(__xludf.DUMMYFUNCTION("""COMPUTED_VALUE"""),0.465972222222222)</f>
        <v>0.46597222222222201</v>
      </c>
      <c r="H52" s="3">
        <f ca="1">IFERROR(__xludf.DUMMYFUNCTION("""COMPUTED_VALUE"""),0.470833333333333)</f>
        <v>0.47083333333333299</v>
      </c>
      <c r="I52" s="3">
        <f ca="1">IFERROR(__xludf.DUMMYFUNCTION("""COMPUTED_VALUE"""),0.475694444444444)</f>
        <v>0.47569444444444398</v>
      </c>
      <c r="J52" s="3">
        <f ca="1">IFERROR(__xludf.DUMMYFUNCTION("""COMPUTED_VALUE"""),0.479861111111111)</f>
        <v>0.47986111111111102</v>
      </c>
      <c r="K52" s="3">
        <f ca="1">IFERROR(__xludf.DUMMYFUNCTION("""COMPUTED_VALUE"""),0.480555555555555)</f>
        <v>0.48055555555555501</v>
      </c>
      <c r="M52" s="3">
        <f t="shared" ref="M52:V52" ca="1" si="33">B52+0.5</f>
        <v>0.94444444444444398</v>
      </c>
      <c r="N52" s="3">
        <f t="shared" ca="1" si="33"/>
        <v>0.94930555555555496</v>
      </c>
      <c r="O52" s="3">
        <f t="shared" ca="1" si="33"/>
        <v>0.95277777777777706</v>
      </c>
      <c r="P52" s="3">
        <f t="shared" ca="1" si="33"/>
        <v>0.95625000000000004</v>
      </c>
      <c r="Q52" s="3">
        <f t="shared" ca="1" si="33"/>
        <v>0.96180555555555503</v>
      </c>
      <c r="R52" s="3">
        <f t="shared" ca="1" si="33"/>
        <v>0.96597222222222201</v>
      </c>
      <c r="S52" s="3">
        <f t="shared" ca="1" si="33"/>
        <v>0.97083333333333299</v>
      </c>
      <c r="T52" s="3">
        <f t="shared" ca="1" si="33"/>
        <v>0.97569444444444398</v>
      </c>
      <c r="U52" s="3">
        <f t="shared" ca="1" si="33"/>
        <v>0.97986111111111107</v>
      </c>
      <c r="V52" s="3">
        <f t="shared" ca="1" si="33"/>
        <v>0.98055555555555496</v>
      </c>
      <c r="W52" s="4">
        <f t="shared" ca="1" si="0"/>
        <v>3.6111111111110983E-2</v>
      </c>
    </row>
    <row r="53" spans="1:23" ht="13" x14ac:dyDescent="0.15">
      <c r="A53" s="2" t="s">
        <v>205</v>
      </c>
      <c r="B53" s="3">
        <f ca="1">IFERROR(__xludf.DUMMYFUNCTION("split(A53,"" "")"),0.465277777777777)</f>
        <v>0.46527777777777701</v>
      </c>
      <c r="C53" s="3">
        <f ca="1">IFERROR(__xludf.DUMMYFUNCTION("""COMPUTED_VALUE"""),0.470138888888888)</f>
        <v>0.470138888888888</v>
      </c>
      <c r="D53" s="3">
        <f ca="1">IFERROR(__xludf.DUMMYFUNCTION("""COMPUTED_VALUE"""),0.473611111111111)</f>
        <v>0.47361111111111098</v>
      </c>
      <c r="E53" s="3">
        <f ca="1">IFERROR(__xludf.DUMMYFUNCTION("""COMPUTED_VALUE"""),0.477083333333333)</f>
        <v>0.47708333333333303</v>
      </c>
      <c r="F53" s="3">
        <f ca="1">IFERROR(__xludf.DUMMYFUNCTION("""COMPUTED_VALUE"""),0.482638888888888)</f>
        <v>0.48263888888888801</v>
      </c>
      <c r="G53" s="3">
        <f ca="1">IFERROR(__xludf.DUMMYFUNCTION("""COMPUTED_VALUE"""),0.486805555555555)</f>
        <v>0.48680555555555499</v>
      </c>
      <c r="H53" s="3">
        <f ca="1">IFERROR(__xludf.DUMMYFUNCTION("""COMPUTED_VALUE"""),0.491666666666666)</f>
        <v>0.49166666666666597</v>
      </c>
      <c r="I53" s="3">
        <f ca="1">IFERROR(__xludf.DUMMYFUNCTION("""COMPUTED_VALUE"""),0.496527777777777)</f>
        <v>0.49652777777777701</v>
      </c>
      <c r="J53" s="3">
        <f ca="1">IFERROR(__xludf.DUMMYFUNCTION("""COMPUTED_VALUE"""),0.500694444444444)</f>
        <v>0.500694444444444</v>
      </c>
      <c r="K53" s="3">
        <f ca="1">IFERROR(__xludf.DUMMYFUNCTION("""COMPUTED_VALUE"""),0.501388888888888)</f>
        <v>0.501388888888888</v>
      </c>
      <c r="M53" s="3">
        <f t="shared" ref="M53:V53" ca="1" si="34">B53+0.5</f>
        <v>0.96527777777777701</v>
      </c>
      <c r="N53" s="3">
        <f t="shared" ca="1" si="34"/>
        <v>0.970138888888888</v>
      </c>
      <c r="O53" s="3">
        <f t="shared" ca="1" si="34"/>
        <v>0.97361111111111098</v>
      </c>
      <c r="P53" s="3">
        <f t="shared" ca="1" si="34"/>
        <v>0.97708333333333308</v>
      </c>
      <c r="Q53" s="3">
        <f t="shared" ca="1" si="34"/>
        <v>0.98263888888888795</v>
      </c>
      <c r="R53" s="3">
        <f t="shared" ca="1" si="34"/>
        <v>0.98680555555555505</v>
      </c>
      <c r="S53" s="3">
        <f t="shared" ca="1" si="34"/>
        <v>0.99166666666666603</v>
      </c>
      <c r="T53" s="3">
        <f t="shared" ca="1" si="34"/>
        <v>0.99652777777777701</v>
      </c>
      <c r="U53" s="3">
        <f t="shared" ca="1" si="34"/>
        <v>1.0006944444444441</v>
      </c>
      <c r="V53" s="3">
        <f t="shared" ca="1" si="34"/>
        <v>1.001388888888888</v>
      </c>
      <c r="W53" s="4">
        <f t="shared" ca="1" si="0"/>
        <v>3.6111111111110983E-2</v>
      </c>
    </row>
    <row r="54" spans="1:23" ht="13" x14ac:dyDescent="0.15">
      <c r="A54" s="2" t="s">
        <v>206</v>
      </c>
      <c r="B54" s="3">
        <f ca="1">IFERROR(__xludf.DUMMYFUNCTION("split(A54,"" "")"),0.486111111111111)</f>
        <v>0.48611111111111099</v>
      </c>
      <c r="C54" s="3">
        <f ca="1">IFERROR(__xludf.DUMMYFUNCTION("""COMPUTED_VALUE"""),0.490972222222222)</f>
        <v>0.49097222222222198</v>
      </c>
      <c r="D54" s="3">
        <f ca="1">IFERROR(__xludf.DUMMYFUNCTION("""COMPUTED_VALUE"""),0.494444444444444)</f>
        <v>0.49444444444444402</v>
      </c>
      <c r="E54" s="3">
        <f ca="1">IFERROR(__xludf.DUMMYFUNCTION("""COMPUTED_VALUE"""),0.497916666666666)</f>
        <v>0.49791666666666601</v>
      </c>
      <c r="F54" s="3">
        <f ca="1">IFERROR(__xludf.DUMMYFUNCTION("""COMPUTED_VALUE"""),0.503472222222222)</f>
        <v>0.50347222222222199</v>
      </c>
      <c r="G54" s="3">
        <f ca="1">IFERROR(__xludf.DUMMYFUNCTION("""COMPUTED_VALUE"""),0.507638888888888)</f>
        <v>0.50763888888888797</v>
      </c>
      <c r="H54" s="3">
        <f ca="1">IFERROR(__xludf.DUMMYFUNCTION("""COMPUTED_VALUE"""),0.5125)</f>
        <v>0.51249999999999996</v>
      </c>
      <c r="I54" s="3">
        <f ca="1">IFERROR(__xludf.DUMMYFUNCTION("""COMPUTED_VALUE"""),0.517361111111111)</f>
        <v>0.51736111111111105</v>
      </c>
      <c r="J54" s="3">
        <f ca="1">IFERROR(__xludf.DUMMYFUNCTION("""COMPUTED_VALUE"""),0.521527777777777)</f>
        <v>0.52152777777777704</v>
      </c>
      <c r="K54" s="3">
        <f ca="1">IFERROR(__xludf.DUMMYFUNCTION("""COMPUTED_VALUE"""),0.522222222222222)</f>
        <v>0.52222222222222203</v>
      </c>
      <c r="M54" s="3">
        <f t="shared" ref="M54:V54" ca="1" si="35">B54+0.5</f>
        <v>0.98611111111111094</v>
      </c>
      <c r="N54" s="3">
        <f t="shared" ca="1" si="35"/>
        <v>0.99097222222222192</v>
      </c>
      <c r="O54" s="3">
        <f t="shared" ca="1" si="35"/>
        <v>0.99444444444444402</v>
      </c>
      <c r="P54" s="3">
        <f t="shared" ca="1" si="35"/>
        <v>0.99791666666666601</v>
      </c>
      <c r="Q54" s="3">
        <f t="shared" ca="1" si="35"/>
        <v>1.0034722222222219</v>
      </c>
      <c r="R54" s="3">
        <f t="shared" ca="1" si="35"/>
        <v>1.0076388888888879</v>
      </c>
      <c r="S54" s="3">
        <f t="shared" ca="1" si="35"/>
        <v>1.0125</v>
      </c>
      <c r="T54" s="3">
        <f t="shared" ca="1" si="35"/>
        <v>1.0173611111111112</v>
      </c>
      <c r="U54" s="3">
        <f t="shared" ca="1" si="35"/>
        <v>1.0215277777777771</v>
      </c>
      <c r="V54" s="3">
        <f t="shared" ca="1" si="35"/>
        <v>1.0222222222222221</v>
      </c>
      <c r="W54" s="4">
        <f t="shared" ca="1" si="0"/>
        <v>3.6111111111111205E-2</v>
      </c>
    </row>
    <row r="55" spans="1:23" ht="13" x14ac:dyDescent="0.15">
      <c r="A55" s="2" t="s">
        <v>207</v>
      </c>
      <c r="B55" s="3">
        <f ca="1">IFERROR(__xludf.DUMMYFUNCTION("split(A55,"" "")"),0.506944444444444)</f>
        <v>0.50694444444444398</v>
      </c>
      <c r="C55" s="3">
        <f ca="1">IFERROR(__xludf.DUMMYFUNCTION("""COMPUTED_VALUE"""),0.511805555555555)</f>
        <v>0.51180555555555496</v>
      </c>
      <c r="D55" s="3">
        <f ca="1">IFERROR(__xludf.DUMMYFUNCTION("""COMPUTED_VALUE"""),0.515277777777777)</f>
        <v>0.51527777777777695</v>
      </c>
      <c r="E55" s="3">
        <f ca="1">IFERROR(__xludf.DUMMYFUNCTION("""COMPUTED_VALUE"""),0.51875)</f>
        <v>0.51875000000000004</v>
      </c>
      <c r="F55" s="3">
        <f ca="1">IFERROR(__xludf.DUMMYFUNCTION("""COMPUTED_VALUE"""),0.524305555555555)</f>
        <v>0.52430555555555503</v>
      </c>
      <c r="G55" s="3">
        <f ca="1">IFERROR(__xludf.DUMMYFUNCTION("""COMPUTED_VALUE"""),0.528472222222222)</f>
        <v>0.52847222222222201</v>
      </c>
      <c r="H55" s="3">
        <f ca="1">IFERROR(__xludf.DUMMYFUNCTION("""COMPUTED_VALUE"""),0.533333333333333)</f>
        <v>0.53333333333333299</v>
      </c>
      <c r="I55" s="3">
        <f ca="1">IFERROR(__xludf.DUMMYFUNCTION("""COMPUTED_VALUE"""),0.538194444444444)</f>
        <v>0.53819444444444398</v>
      </c>
      <c r="J55" s="3">
        <f ca="1">IFERROR(__xludf.DUMMYFUNCTION("""COMPUTED_VALUE"""),0.0423611111111111)</f>
        <v>4.2361111111111099E-2</v>
      </c>
      <c r="K55" s="3">
        <f ca="1">IFERROR(__xludf.DUMMYFUNCTION("""COMPUTED_VALUE"""),0.0430555555555555)</f>
        <v>4.30555555555555E-2</v>
      </c>
      <c r="M55" s="3">
        <f t="shared" ref="M55:T55" ca="1" si="36">B55+0.5</f>
        <v>1.006944444444444</v>
      </c>
      <c r="N55" s="3">
        <f t="shared" ca="1" si="36"/>
        <v>1.011805555555555</v>
      </c>
      <c r="O55" s="3">
        <f t="shared" ca="1" si="36"/>
        <v>1.0152777777777771</v>
      </c>
      <c r="P55" s="3">
        <f t="shared" ca="1" si="36"/>
        <v>1.01875</v>
      </c>
      <c r="Q55" s="3">
        <f t="shared" ca="1" si="36"/>
        <v>1.0243055555555549</v>
      </c>
      <c r="R55" s="3">
        <f t="shared" ca="1" si="36"/>
        <v>1.028472222222222</v>
      </c>
      <c r="S55" s="3">
        <f t="shared" ca="1" si="36"/>
        <v>1.033333333333333</v>
      </c>
      <c r="T55" s="3">
        <f t="shared" ca="1" si="36"/>
        <v>1.038194444444444</v>
      </c>
      <c r="U55" s="3">
        <f t="shared" ref="U55:V55" ca="1" si="37">J55</f>
        <v>4.2361111111111099E-2</v>
      </c>
      <c r="V55" s="3">
        <f t="shared" ca="1" si="37"/>
        <v>4.30555555555555E-2</v>
      </c>
      <c r="W55" s="4">
        <f ca="1">V55-M55+1</f>
        <v>3.6111111111111538E-2</v>
      </c>
    </row>
    <row r="56" spans="1:23" ht="13" x14ac:dyDescent="0.15">
      <c r="W56" s="4">
        <f ca="1">SUM(W2:W55)</f>
        <v>2.3715277777777777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55"/>
  <sheetViews>
    <sheetView workbookViewId="0"/>
  </sheetViews>
  <sheetFormatPr baseColWidth="10" defaultColWidth="12.6640625" defaultRowHeight="15.75" customHeight="1" x14ac:dyDescent="0.15"/>
  <sheetData>
    <row r="1" spans="1:23" ht="15.75" customHeight="1" x14ac:dyDescent="0.15"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83</v>
      </c>
      <c r="I1" s="1" t="s">
        <v>2</v>
      </c>
      <c r="J1" s="1" t="s">
        <v>1</v>
      </c>
      <c r="K1" s="1" t="s">
        <v>0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4</v>
      </c>
      <c r="S1" s="1" t="s">
        <v>83</v>
      </c>
      <c r="T1" s="1" t="s">
        <v>2</v>
      </c>
      <c r="U1" s="1" t="s">
        <v>1</v>
      </c>
      <c r="V1" s="1" t="s">
        <v>0</v>
      </c>
    </row>
    <row r="2" spans="1:23" ht="15.75" customHeight="1" x14ac:dyDescent="0.15">
      <c r="A2" s="2" t="s">
        <v>208</v>
      </c>
      <c r="B2" s="3">
        <f ca="1">IFERROR(__xludf.DUMMYFUNCTION("SPLIT(A2,"" "")"),0.25)</f>
        <v>0.25</v>
      </c>
      <c r="C2" s="3">
        <f ca="1">IFERROR(__xludf.DUMMYFUNCTION("""COMPUTED_VALUE"""),0.253472222222222)</f>
        <v>0.25347222222222199</v>
      </c>
      <c r="D2" s="3">
        <f ca="1">IFERROR(__xludf.DUMMYFUNCTION("""COMPUTED_VALUE"""),0.25625)</f>
        <v>0.25624999999999998</v>
      </c>
      <c r="E2" s="3">
        <f ca="1">IFERROR(__xludf.DUMMYFUNCTION("""COMPUTED_VALUE"""),0.261111111111111)</f>
        <v>0.26111111111111102</v>
      </c>
      <c r="F2" s="3">
        <f ca="1">IFERROR(__xludf.DUMMYFUNCTION("""COMPUTED_VALUE"""),0.265972222222222)</f>
        <v>0.265972222222222</v>
      </c>
      <c r="G2" s="3">
        <f ca="1">IFERROR(__xludf.DUMMYFUNCTION("""COMPUTED_VALUE"""),0.270138888888888)</f>
        <v>0.27013888888888798</v>
      </c>
      <c r="H2" s="3">
        <f ca="1">IFERROR(__xludf.DUMMYFUNCTION("""COMPUTED_VALUE"""),0.276388888888888)</f>
        <v>0.27638888888888802</v>
      </c>
      <c r="I2" s="3">
        <f ca="1">IFERROR(__xludf.DUMMYFUNCTION("""COMPUTED_VALUE"""),0.279861111111111)</f>
        <v>0.27986111111111101</v>
      </c>
      <c r="J2" s="3">
        <f ca="1">IFERROR(__xludf.DUMMYFUNCTION("""COMPUTED_VALUE"""),0.284027777777777)</f>
        <v>0.28402777777777699</v>
      </c>
      <c r="K2" s="3">
        <f ca="1">IFERROR(__xludf.DUMMYFUNCTION("""COMPUTED_VALUE"""),0.288888888888888)</f>
        <v>0.28888888888888797</v>
      </c>
      <c r="M2" s="3">
        <v>0.25</v>
      </c>
      <c r="N2" s="3">
        <v>0.25347222222222221</v>
      </c>
      <c r="O2" s="3">
        <v>0.25624999999999998</v>
      </c>
      <c r="P2" s="3">
        <v>0.26111111111111113</v>
      </c>
      <c r="Q2" s="3">
        <v>0.26597222222222222</v>
      </c>
      <c r="R2" s="3">
        <v>0.27013888888888887</v>
      </c>
      <c r="S2" s="3">
        <v>0.27638888888888891</v>
      </c>
      <c r="T2" s="3">
        <v>0.27986111111111112</v>
      </c>
      <c r="U2" s="3">
        <v>0.28402777777777777</v>
      </c>
      <c r="V2" s="3">
        <v>0.28888888888888886</v>
      </c>
      <c r="W2" s="4">
        <f t="shared" ref="W2:W54" si="0">V2-M2</f>
        <v>3.8888888888888862E-2</v>
      </c>
    </row>
    <row r="3" spans="1:23" ht="15.75" customHeight="1" x14ac:dyDescent="0.15">
      <c r="A3" s="2" t="s">
        <v>209</v>
      </c>
      <c r="B3" s="3">
        <f ca="1">IFERROR(__xludf.DUMMYFUNCTION("SPLIT(A3,"" "")"),0.263888888888888)</f>
        <v>0.26388888888888801</v>
      </c>
      <c r="C3" s="3">
        <f ca="1">IFERROR(__xludf.DUMMYFUNCTION("""COMPUTED_VALUE"""),0.267361111111111)</f>
        <v>0.26736111111111099</v>
      </c>
      <c r="D3" s="3">
        <f ca="1">IFERROR(__xludf.DUMMYFUNCTION("""COMPUTED_VALUE"""),0.270138888888888)</f>
        <v>0.27013888888888798</v>
      </c>
      <c r="E3" s="3">
        <f ca="1">IFERROR(__xludf.DUMMYFUNCTION("""COMPUTED_VALUE"""),0.275)</f>
        <v>0.27500000000000002</v>
      </c>
      <c r="F3" s="3">
        <f ca="1">IFERROR(__xludf.DUMMYFUNCTION("""COMPUTED_VALUE"""),0.279861111111111)</f>
        <v>0.27986111111111101</v>
      </c>
      <c r="G3" s="3">
        <f ca="1">IFERROR(__xludf.DUMMYFUNCTION("""COMPUTED_VALUE"""),0.284027777777777)</f>
        <v>0.28402777777777699</v>
      </c>
      <c r="H3" s="3">
        <f ca="1">IFERROR(__xludf.DUMMYFUNCTION("""COMPUTED_VALUE"""),0.290277777777777)</f>
        <v>0.29027777777777702</v>
      </c>
      <c r="I3" s="3">
        <f ca="1">IFERROR(__xludf.DUMMYFUNCTION("""COMPUTED_VALUE"""),0.29375)</f>
        <v>0.29375000000000001</v>
      </c>
      <c r="J3" s="3">
        <f ca="1">IFERROR(__xludf.DUMMYFUNCTION("""COMPUTED_VALUE"""),0.297916666666666)</f>
        <v>0.297916666666666</v>
      </c>
      <c r="K3" s="3">
        <f ca="1">IFERROR(__xludf.DUMMYFUNCTION("""COMPUTED_VALUE"""),0.302777777777777)</f>
        <v>0.30277777777777698</v>
      </c>
      <c r="M3" s="3">
        <v>0.2638888888888889</v>
      </c>
      <c r="N3" s="3">
        <v>0.2673611111111111</v>
      </c>
      <c r="O3" s="3">
        <v>0.27013888888888887</v>
      </c>
      <c r="P3" s="3">
        <v>0.27500000000000002</v>
      </c>
      <c r="Q3" s="3">
        <v>0.27986111111111112</v>
      </c>
      <c r="R3" s="3">
        <v>0.28402777777777777</v>
      </c>
      <c r="S3" s="3">
        <v>0.2902777777777778</v>
      </c>
      <c r="T3" s="3">
        <v>0.29375000000000001</v>
      </c>
      <c r="U3" s="3">
        <v>0.29791666666666666</v>
      </c>
      <c r="V3" s="3">
        <v>0.30277777777777776</v>
      </c>
      <c r="W3" s="4">
        <f t="shared" si="0"/>
        <v>3.8888888888888862E-2</v>
      </c>
    </row>
    <row r="4" spans="1:23" ht="15.75" customHeight="1" x14ac:dyDescent="0.15">
      <c r="A4" s="2" t="s">
        <v>210</v>
      </c>
      <c r="B4" s="3">
        <f ca="1">IFERROR(__xludf.DUMMYFUNCTION("SPLIT(A4,"" "")"),0.277777777777777)</f>
        <v>0.27777777777777701</v>
      </c>
      <c r="C4" s="3">
        <f ca="1">IFERROR(__xludf.DUMMYFUNCTION("""COMPUTED_VALUE"""),0.28125)</f>
        <v>0.28125</v>
      </c>
      <c r="D4" s="3">
        <f ca="1">IFERROR(__xludf.DUMMYFUNCTION("""COMPUTED_VALUE"""),0.284027777777777)</f>
        <v>0.28402777777777699</v>
      </c>
      <c r="E4" s="3">
        <f ca="1">IFERROR(__xludf.DUMMYFUNCTION("""COMPUTED_VALUE"""),0.288888888888888)</f>
        <v>0.28888888888888797</v>
      </c>
      <c r="F4" s="3">
        <f ca="1">IFERROR(__xludf.DUMMYFUNCTION("""COMPUTED_VALUE"""),0.29375)</f>
        <v>0.29375000000000001</v>
      </c>
      <c r="G4" s="3">
        <f ca="1">IFERROR(__xludf.DUMMYFUNCTION("""COMPUTED_VALUE"""),0.297916666666666)</f>
        <v>0.297916666666666</v>
      </c>
      <c r="H4" s="3">
        <f ca="1">IFERROR(__xludf.DUMMYFUNCTION("""COMPUTED_VALUE"""),0.304166666666666)</f>
        <v>0.30416666666666597</v>
      </c>
      <c r="I4" s="3">
        <f ca="1">IFERROR(__xludf.DUMMYFUNCTION("""COMPUTED_VALUE"""),0.307638888888888)</f>
        <v>0.30763888888888802</v>
      </c>
      <c r="J4" s="3">
        <f ca="1">IFERROR(__xludf.DUMMYFUNCTION("""COMPUTED_VALUE"""),0.311805555555555)</f>
        <v>0.311805555555555</v>
      </c>
      <c r="K4" s="3">
        <f ca="1">IFERROR(__xludf.DUMMYFUNCTION("""COMPUTED_VALUE"""),0.316666666666666)</f>
        <v>0.31666666666666599</v>
      </c>
      <c r="M4" s="3">
        <v>0.27777777777777779</v>
      </c>
      <c r="N4" s="3">
        <v>0.28125</v>
      </c>
      <c r="O4" s="3">
        <v>0.28402777777777777</v>
      </c>
      <c r="P4" s="3">
        <v>0.28888888888888886</v>
      </c>
      <c r="Q4" s="3">
        <v>0.29375000000000001</v>
      </c>
      <c r="R4" s="3">
        <v>0.29791666666666666</v>
      </c>
      <c r="S4" s="3">
        <v>0.30416666666666664</v>
      </c>
      <c r="T4" s="3">
        <v>0.30763888888888891</v>
      </c>
      <c r="U4" s="3">
        <v>0.31180555555555556</v>
      </c>
      <c r="V4" s="3">
        <v>0.31666666666666665</v>
      </c>
      <c r="W4" s="4">
        <f t="shared" si="0"/>
        <v>3.8888888888888862E-2</v>
      </c>
    </row>
    <row r="5" spans="1:23" ht="15.75" customHeight="1" x14ac:dyDescent="0.15">
      <c r="A5" s="2" t="s">
        <v>211</v>
      </c>
      <c r="B5" s="3">
        <f ca="1">IFERROR(__xludf.DUMMYFUNCTION("SPLIT(A5,"" "")"),0.291666666666666)</f>
        <v>0.29166666666666602</v>
      </c>
      <c r="C5" s="3">
        <f ca="1">IFERROR(__xludf.DUMMYFUNCTION("""COMPUTED_VALUE"""),0.295138888888888)</f>
        <v>0.29513888888888801</v>
      </c>
      <c r="D5" s="3">
        <f ca="1">IFERROR(__xludf.DUMMYFUNCTION("""COMPUTED_VALUE"""),0.297916666666666)</f>
        <v>0.297916666666666</v>
      </c>
      <c r="E5" s="3">
        <f ca="1">IFERROR(__xludf.DUMMYFUNCTION("""COMPUTED_VALUE"""),0.302777777777777)</f>
        <v>0.30277777777777698</v>
      </c>
      <c r="F5" s="3">
        <f ca="1">IFERROR(__xludf.DUMMYFUNCTION("""COMPUTED_VALUE"""),0.307638888888888)</f>
        <v>0.30763888888888802</v>
      </c>
      <c r="G5" s="3">
        <f ca="1">IFERROR(__xludf.DUMMYFUNCTION("""COMPUTED_VALUE"""),0.311805555555555)</f>
        <v>0.311805555555555</v>
      </c>
      <c r="H5" s="3">
        <f ca="1">IFERROR(__xludf.DUMMYFUNCTION("""COMPUTED_VALUE"""),0.318055555555555)</f>
        <v>0.31805555555555498</v>
      </c>
      <c r="I5" s="3">
        <f ca="1">IFERROR(__xludf.DUMMYFUNCTION("""COMPUTED_VALUE"""),0.321527777777777)</f>
        <v>0.32152777777777702</v>
      </c>
      <c r="J5" s="3">
        <f ca="1">IFERROR(__xludf.DUMMYFUNCTION("""COMPUTED_VALUE"""),0.325694444444444)</f>
        <v>0.32569444444444401</v>
      </c>
      <c r="K5" s="3">
        <f ca="1">IFERROR(__xludf.DUMMYFUNCTION("""COMPUTED_VALUE"""),0.330555555555555)</f>
        <v>0.33055555555555499</v>
      </c>
      <c r="M5" s="3">
        <v>0.29166666666666669</v>
      </c>
      <c r="N5" s="3">
        <v>0.2951388888888889</v>
      </c>
      <c r="O5" s="3">
        <v>0.29791666666666666</v>
      </c>
      <c r="P5" s="3">
        <v>0.30277777777777776</v>
      </c>
      <c r="Q5" s="3">
        <v>0.30763888888888891</v>
      </c>
      <c r="R5" s="3">
        <v>0.31180555555555556</v>
      </c>
      <c r="S5" s="3">
        <v>0.31805555555555554</v>
      </c>
      <c r="T5" s="3">
        <v>0.3215277777777778</v>
      </c>
      <c r="U5" s="3">
        <v>0.32569444444444445</v>
      </c>
      <c r="V5" s="3">
        <v>0.33055555555555555</v>
      </c>
      <c r="W5" s="4">
        <f t="shared" si="0"/>
        <v>3.8888888888888862E-2</v>
      </c>
    </row>
    <row r="6" spans="1:23" ht="15.75" customHeight="1" x14ac:dyDescent="0.15">
      <c r="A6" s="2" t="s">
        <v>212</v>
      </c>
      <c r="B6" s="3">
        <f ca="1">IFERROR(__xludf.DUMMYFUNCTION("SPLIT(A6,"" "")"),0.305555555555555)</f>
        <v>0.30555555555555503</v>
      </c>
      <c r="C6" s="3">
        <f ca="1">IFERROR(__xludf.DUMMYFUNCTION("""COMPUTED_VALUE"""),0.309027777777777)</f>
        <v>0.30902777777777701</v>
      </c>
      <c r="D6" s="3">
        <f ca="1">IFERROR(__xludf.DUMMYFUNCTION("""COMPUTED_VALUE"""),0.311805555555555)</f>
        <v>0.311805555555555</v>
      </c>
      <c r="E6" s="3">
        <f ca="1">IFERROR(__xludf.DUMMYFUNCTION("""COMPUTED_VALUE"""),0.316666666666666)</f>
        <v>0.31666666666666599</v>
      </c>
      <c r="F6" s="3">
        <f ca="1">IFERROR(__xludf.DUMMYFUNCTION("""COMPUTED_VALUE"""),0.321527777777777)</f>
        <v>0.32152777777777702</v>
      </c>
      <c r="G6" s="3">
        <f ca="1">IFERROR(__xludf.DUMMYFUNCTION("""COMPUTED_VALUE"""),0.325694444444444)</f>
        <v>0.32569444444444401</v>
      </c>
      <c r="H6" s="3">
        <f ca="1">IFERROR(__xludf.DUMMYFUNCTION("""COMPUTED_VALUE"""),0.331944444444444)</f>
        <v>0.33194444444444399</v>
      </c>
      <c r="I6" s="3">
        <f ca="1">IFERROR(__xludf.DUMMYFUNCTION("""COMPUTED_VALUE"""),0.335416666666666)</f>
        <v>0.33541666666666597</v>
      </c>
      <c r="J6" s="3">
        <f ca="1">IFERROR(__xludf.DUMMYFUNCTION("""COMPUTED_VALUE"""),0.339583333333333)</f>
        <v>0.33958333333333302</v>
      </c>
      <c r="K6" s="3">
        <f ca="1">IFERROR(__xludf.DUMMYFUNCTION("""COMPUTED_VALUE"""),0.344444444444444)</f>
        <v>0.344444444444444</v>
      </c>
      <c r="M6" s="3">
        <v>0.30555555555555558</v>
      </c>
      <c r="N6" s="3">
        <v>0.30902777777777779</v>
      </c>
      <c r="O6" s="3">
        <v>0.31180555555555556</v>
      </c>
      <c r="P6" s="3">
        <v>0.31666666666666665</v>
      </c>
      <c r="Q6" s="3">
        <v>0.3215277777777778</v>
      </c>
      <c r="R6" s="3">
        <v>0.32569444444444445</v>
      </c>
      <c r="S6" s="3">
        <v>0.33194444444444443</v>
      </c>
      <c r="T6" s="3">
        <v>0.33541666666666664</v>
      </c>
      <c r="U6" s="3">
        <v>0.33958333333333335</v>
      </c>
      <c r="V6" s="3">
        <v>0.34444444444444444</v>
      </c>
      <c r="W6" s="4">
        <f t="shared" si="0"/>
        <v>3.8888888888888862E-2</v>
      </c>
    </row>
    <row r="7" spans="1:23" ht="15.75" customHeight="1" x14ac:dyDescent="0.15">
      <c r="A7" s="2" t="s">
        <v>213</v>
      </c>
      <c r="B7" s="3">
        <f ca="1">IFERROR(__xludf.DUMMYFUNCTION("SPLIT(A7,"" "")"),0.319444444444444)</f>
        <v>0.31944444444444398</v>
      </c>
      <c r="C7" s="3">
        <f ca="1">IFERROR(__xludf.DUMMYFUNCTION("""COMPUTED_VALUE"""),0.322916666666666)</f>
        <v>0.32291666666666602</v>
      </c>
      <c r="D7" s="3">
        <f ca="1">IFERROR(__xludf.DUMMYFUNCTION("""COMPUTED_VALUE"""),0.325694444444444)</f>
        <v>0.32569444444444401</v>
      </c>
      <c r="E7" s="3">
        <f ca="1">IFERROR(__xludf.DUMMYFUNCTION("""COMPUTED_VALUE"""),0.330555555555555)</f>
        <v>0.33055555555555499</v>
      </c>
      <c r="F7" s="3">
        <f ca="1">IFERROR(__xludf.DUMMYFUNCTION("""COMPUTED_VALUE"""),0.335416666666666)</f>
        <v>0.33541666666666597</v>
      </c>
      <c r="G7" s="3">
        <f ca="1">IFERROR(__xludf.DUMMYFUNCTION("""COMPUTED_VALUE"""),0.339583333333333)</f>
        <v>0.33958333333333302</v>
      </c>
      <c r="H7" s="3">
        <f ca="1">IFERROR(__xludf.DUMMYFUNCTION("""COMPUTED_VALUE"""),0.345833333333333)</f>
        <v>0.34583333333333299</v>
      </c>
      <c r="I7" s="3">
        <f ca="1">IFERROR(__xludf.DUMMYFUNCTION("""COMPUTED_VALUE"""),0.349305555555555)</f>
        <v>0.34930555555555498</v>
      </c>
      <c r="J7" s="3">
        <f ca="1">IFERROR(__xludf.DUMMYFUNCTION("""COMPUTED_VALUE"""),0.353472222222222)</f>
        <v>0.35347222222222202</v>
      </c>
      <c r="K7" s="3">
        <f ca="1">IFERROR(__xludf.DUMMYFUNCTION("""COMPUTED_VALUE"""),0.358333333333333)</f>
        <v>0.358333333333333</v>
      </c>
      <c r="M7" s="3">
        <v>0.31944444444444442</v>
      </c>
      <c r="N7" s="3">
        <v>0.32291666666666669</v>
      </c>
      <c r="O7" s="3">
        <v>0.32569444444444445</v>
      </c>
      <c r="P7" s="3">
        <v>0.33055555555555555</v>
      </c>
      <c r="Q7" s="3">
        <v>0.33541666666666664</v>
      </c>
      <c r="R7" s="3">
        <v>0.33958333333333335</v>
      </c>
      <c r="S7" s="3">
        <v>0.34583333333333333</v>
      </c>
      <c r="T7" s="3">
        <v>0.34930555555555554</v>
      </c>
      <c r="U7" s="3">
        <v>0.35347222222222224</v>
      </c>
      <c r="V7" s="3">
        <v>0.35833333333333334</v>
      </c>
      <c r="W7" s="4">
        <f t="shared" si="0"/>
        <v>3.8888888888888917E-2</v>
      </c>
    </row>
    <row r="8" spans="1:23" ht="15.75" customHeight="1" x14ac:dyDescent="0.15">
      <c r="A8" s="2" t="s">
        <v>214</v>
      </c>
      <c r="B8" s="3">
        <f ca="1">IFERROR(__xludf.DUMMYFUNCTION("SPLIT(A8,"" "")"),0.333333333333333)</f>
        <v>0.33333333333333298</v>
      </c>
      <c r="C8" s="3">
        <f ca="1">IFERROR(__xludf.DUMMYFUNCTION("""COMPUTED_VALUE"""),0.336805555555555)</f>
        <v>0.33680555555555503</v>
      </c>
      <c r="D8" s="3">
        <f ca="1">IFERROR(__xludf.DUMMYFUNCTION("""COMPUTED_VALUE"""),0.339583333333333)</f>
        <v>0.33958333333333302</v>
      </c>
      <c r="E8" s="3">
        <f ca="1">IFERROR(__xludf.DUMMYFUNCTION("""COMPUTED_VALUE"""),0.344444444444444)</f>
        <v>0.344444444444444</v>
      </c>
      <c r="F8" s="3">
        <f ca="1">IFERROR(__xludf.DUMMYFUNCTION("""COMPUTED_VALUE"""),0.349305555555555)</f>
        <v>0.34930555555555498</v>
      </c>
      <c r="G8" s="3">
        <f ca="1">IFERROR(__xludf.DUMMYFUNCTION("""COMPUTED_VALUE"""),0.353472222222222)</f>
        <v>0.35347222222222202</v>
      </c>
      <c r="H8" s="3">
        <f ca="1">IFERROR(__xludf.DUMMYFUNCTION("""COMPUTED_VALUE"""),0.359722222222222)</f>
        <v>0.359722222222222</v>
      </c>
      <c r="I8" s="3">
        <f ca="1">IFERROR(__xludf.DUMMYFUNCTION("""COMPUTED_VALUE"""),0.363194444444444)</f>
        <v>0.36319444444444399</v>
      </c>
      <c r="J8" s="3">
        <f ca="1">IFERROR(__xludf.DUMMYFUNCTION("""COMPUTED_VALUE"""),0.367361111111111)</f>
        <v>0.36736111111111103</v>
      </c>
      <c r="K8" s="3">
        <f ca="1">IFERROR(__xludf.DUMMYFUNCTION("""COMPUTED_VALUE"""),0.372222222222222)</f>
        <v>0.37222222222222201</v>
      </c>
      <c r="M8" s="3">
        <v>0.33333333333333331</v>
      </c>
      <c r="N8" s="3">
        <v>0.33680555555555558</v>
      </c>
      <c r="O8" s="3">
        <v>0.33958333333333335</v>
      </c>
      <c r="P8" s="3">
        <v>0.34444444444444444</v>
      </c>
      <c r="Q8" s="3">
        <v>0.34930555555555554</v>
      </c>
      <c r="R8" s="3">
        <v>0.35347222222222224</v>
      </c>
      <c r="S8" s="3">
        <v>0.35972222222222222</v>
      </c>
      <c r="T8" s="3">
        <v>0.36319444444444443</v>
      </c>
      <c r="U8" s="3">
        <v>0.36736111111111114</v>
      </c>
      <c r="V8" s="3">
        <v>0.37222222222222223</v>
      </c>
      <c r="W8" s="4">
        <f t="shared" si="0"/>
        <v>3.8888888888888917E-2</v>
      </c>
    </row>
    <row r="9" spans="1:23" ht="15.75" customHeight="1" x14ac:dyDescent="0.15">
      <c r="A9" s="2" t="s">
        <v>215</v>
      </c>
      <c r="B9" s="3">
        <f ca="1">IFERROR(__xludf.DUMMYFUNCTION("SPLIT(A9,"" "")"),0.347222222222222)</f>
        <v>0.34722222222222199</v>
      </c>
      <c r="C9" s="3">
        <f ca="1">IFERROR(__xludf.DUMMYFUNCTION("""COMPUTED_VALUE"""),0.350694444444444)</f>
        <v>0.35069444444444398</v>
      </c>
      <c r="D9" s="3">
        <f ca="1">IFERROR(__xludf.DUMMYFUNCTION("""COMPUTED_VALUE"""),0.353472222222222)</f>
        <v>0.35347222222222202</v>
      </c>
      <c r="E9" s="3">
        <f ca="1">IFERROR(__xludf.DUMMYFUNCTION("""COMPUTED_VALUE"""),0.358333333333333)</f>
        <v>0.358333333333333</v>
      </c>
      <c r="F9" s="3">
        <f ca="1">IFERROR(__xludf.DUMMYFUNCTION("""COMPUTED_VALUE"""),0.363194444444444)</f>
        <v>0.36319444444444399</v>
      </c>
      <c r="G9" s="3">
        <f ca="1">IFERROR(__xludf.DUMMYFUNCTION("""COMPUTED_VALUE"""),0.367361111111111)</f>
        <v>0.36736111111111103</v>
      </c>
      <c r="H9" s="3">
        <f ca="1">IFERROR(__xludf.DUMMYFUNCTION("""COMPUTED_VALUE"""),0.373611111111111)</f>
        <v>0.37361111111111101</v>
      </c>
      <c r="I9" s="3">
        <f ca="1">IFERROR(__xludf.DUMMYFUNCTION("""COMPUTED_VALUE"""),0.377083333333333)</f>
        <v>0.37708333333333299</v>
      </c>
      <c r="J9" s="3">
        <f ca="1">IFERROR(__xludf.DUMMYFUNCTION("""COMPUTED_VALUE"""),0.38125)</f>
        <v>0.38124999999999998</v>
      </c>
      <c r="K9" s="3">
        <f ca="1">IFERROR(__xludf.DUMMYFUNCTION("""COMPUTED_VALUE"""),0.386111111111111)</f>
        <v>0.38611111111111102</v>
      </c>
      <c r="M9" s="3">
        <v>0.34722222222222221</v>
      </c>
      <c r="N9" s="3">
        <v>0.35069444444444442</v>
      </c>
      <c r="O9" s="3">
        <v>0.35347222222222224</v>
      </c>
      <c r="P9" s="3">
        <v>0.35833333333333334</v>
      </c>
      <c r="Q9" s="3">
        <v>0.36319444444444443</v>
      </c>
      <c r="R9" s="3">
        <v>0.36736111111111114</v>
      </c>
      <c r="S9" s="3">
        <v>0.37361111111111112</v>
      </c>
      <c r="T9" s="3">
        <v>0.37708333333333333</v>
      </c>
      <c r="U9" s="3">
        <v>0.38124999999999998</v>
      </c>
      <c r="V9" s="3">
        <v>0.38611111111111113</v>
      </c>
      <c r="W9" s="4">
        <f t="shared" si="0"/>
        <v>3.8888888888888917E-2</v>
      </c>
    </row>
    <row r="10" spans="1:23" ht="15.75" customHeight="1" x14ac:dyDescent="0.15">
      <c r="A10" s="2" t="s">
        <v>216</v>
      </c>
      <c r="B10" s="3">
        <f ca="1">IFERROR(__xludf.DUMMYFUNCTION("SPLIT(A10,"" "")"),0.361111111111111)</f>
        <v>0.36111111111111099</v>
      </c>
      <c r="C10" s="3">
        <f ca="1">IFERROR(__xludf.DUMMYFUNCTION("""COMPUTED_VALUE"""),0.364583333333333)</f>
        <v>0.36458333333333298</v>
      </c>
      <c r="D10" s="3">
        <f ca="1">IFERROR(__xludf.DUMMYFUNCTION("""COMPUTED_VALUE"""),0.36875)</f>
        <v>0.36875000000000002</v>
      </c>
      <c r="E10" s="3">
        <f ca="1">IFERROR(__xludf.DUMMYFUNCTION("""COMPUTED_VALUE"""),0.373611111111111)</f>
        <v>0.37361111111111101</v>
      </c>
      <c r="F10" s="3">
        <f ca="1">IFERROR(__xludf.DUMMYFUNCTION("""COMPUTED_VALUE"""),0.379166666666666)</f>
        <v>0.37916666666666599</v>
      </c>
      <c r="G10" s="3">
        <f ca="1">IFERROR(__xludf.DUMMYFUNCTION("""COMPUTED_VALUE"""),0.383333333333333)</f>
        <v>0.38333333333333303</v>
      </c>
      <c r="H10" s="3">
        <f ca="1">IFERROR(__xludf.DUMMYFUNCTION("""COMPUTED_VALUE"""),0.390277777777777)</f>
        <v>0.390277777777777</v>
      </c>
      <c r="I10" s="3">
        <f ca="1">IFERROR(__xludf.DUMMYFUNCTION("""COMPUTED_VALUE"""),0.39375)</f>
        <v>0.39374999999999999</v>
      </c>
      <c r="J10" s="3">
        <f ca="1">IFERROR(__xludf.DUMMYFUNCTION("""COMPUTED_VALUE"""),0.397916666666666)</f>
        <v>0.39791666666666597</v>
      </c>
      <c r="K10" s="3">
        <f ca="1">IFERROR(__xludf.DUMMYFUNCTION("""COMPUTED_VALUE"""),0.402777777777777)</f>
        <v>0.40277777777777701</v>
      </c>
      <c r="M10" s="3">
        <v>0.3611111111111111</v>
      </c>
      <c r="N10" s="3">
        <v>0.36458333333333331</v>
      </c>
      <c r="O10" s="3">
        <v>0.36875000000000002</v>
      </c>
      <c r="P10" s="3">
        <v>0.37361111111111112</v>
      </c>
      <c r="Q10" s="3">
        <v>0.37916666666666665</v>
      </c>
      <c r="R10" s="3">
        <v>0.38333333333333336</v>
      </c>
      <c r="S10" s="3">
        <v>0.39027777777777778</v>
      </c>
      <c r="T10" s="3">
        <v>0.39374999999999999</v>
      </c>
      <c r="U10" s="3">
        <v>0.39791666666666664</v>
      </c>
      <c r="V10" s="3">
        <v>0.40277777777777779</v>
      </c>
      <c r="W10" s="4">
        <f t="shared" si="0"/>
        <v>4.1666666666666685E-2</v>
      </c>
    </row>
    <row r="11" spans="1:23" ht="15.75" customHeight="1" x14ac:dyDescent="0.15">
      <c r="A11" s="2" t="s">
        <v>217</v>
      </c>
      <c r="B11" s="3">
        <f ca="1">IFERROR(__xludf.DUMMYFUNCTION("SPLIT(A11,"" "")"),0.375)</f>
        <v>0.375</v>
      </c>
      <c r="C11" s="3">
        <f ca="1">IFERROR(__xludf.DUMMYFUNCTION("""COMPUTED_VALUE"""),0.378472222222222)</f>
        <v>0.37847222222222199</v>
      </c>
      <c r="D11" s="3">
        <f ca="1">IFERROR(__xludf.DUMMYFUNCTION("""COMPUTED_VALUE"""),0.382638888888888)</f>
        <v>0.38263888888888797</v>
      </c>
      <c r="E11" s="3">
        <f ca="1">IFERROR(__xludf.DUMMYFUNCTION("""COMPUTED_VALUE"""),0.3875)</f>
        <v>0.38750000000000001</v>
      </c>
      <c r="F11" s="3">
        <f ca="1">IFERROR(__xludf.DUMMYFUNCTION("""COMPUTED_VALUE"""),0.393055555555555)</f>
        <v>0.39305555555555499</v>
      </c>
      <c r="G11" s="3">
        <f ca="1">IFERROR(__xludf.DUMMYFUNCTION("""COMPUTED_VALUE"""),0.397222222222222)</f>
        <v>0.39722222222222198</v>
      </c>
      <c r="H11" s="3">
        <f ca="1">IFERROR(__xludf.DUMMYFUNCTION("""COMPUTED_VALUE"""),0.404166666666666)</f>
        <v>0.40416666666666601</v>
      </c>
      <c r="I11" s="3">
        <f ca="1">IFERROR(__xludf.DUMMYFUNCTION("""COMPUTED_VALUE"""),0.407638888888888)</f>
        <v>0.407638888888888</v>
      </c>
      <c r="J11" s="3">
        <f ca="1">IFERROR(__xludf.DUMMYFUNCTION("""COMPUTED_VALUE"""),0.411805555555555)</f>
        <v>0.41180555555555498</v>
      </c>
      <c r="K11" s="3">
        <f ca="1">IFERROR(__xludf.DUMMYFUNCTION("""COMPUTED_VALUE"""),0.416666666666666)</f>
        <v>0.41666666666666602</v>
      </c>
      <c r="M11" s="3">
        <v>0.375</v>
      </c>
      <c r="N11" s="3">
        <v>0.37847222222222221</v>
      </c>
      <c r="O11" s="3">
        <v>0.38263888888888886</v>
      </c>
      <c r="P11" s="3">
        <v>0.38750000000000001</v>
      </c>
      <c r="Q11" s="3">
        <v>0.39305555555555555</v>
      </c>
      <c r="R11" s="3">
        <v>0.3972222222222222</v>
      </c>
      <c r="S11" s="3">
        <v>0.40416666666666667</v>
      </c>
      <c r="T11" s="3">
        <v>0.40763888888888888</v>
      </c>
      <c r="U11" s="3">
        <v>0.41180555555555554</v>
      </c>
      <c r="V11" s="3">
        <v>0.41666666666666669</v>
      </c>
      <c r="W11" s="4">
        <f t="shared" si="0"/>
        <v>4.1666666666666685E-2</v>
      </c>
    </row>
    <row r="12" spans="1:23" ht="15.75" customHeight="1" x14ac:dyDescent="0.15">
      <c r="A12" s="2" t="s">
        <v>218</v>
      </c>
      <c r="B12" s="3">
        <f ca="1">IFERROR(__xludf.DUMMYFUNCTION("SPLIT(A12,"" "")"),0.388888888888888)</f>
        <v>0.38888888888888801</v>
      </c>
      <c r="C12" s="3">
        <f ca="1">IFERROR(__xludf.DUMMYFUNCTION("""COMPUTED_VALUE"""),0.392361111111111)</f>
        <v>0.39236111111111099</v>
      </c>
      <c r="D12" s="3">
        <f ca="1">IFERROR(__xludf.DUMMYFUNCTION("""COMPUTED_VALUE"""),0.396527777777777)</f>
        <v>0.39652777777777698</v>
      </c>
      <c r="E12" s="3">
        <f ca="1">IFERROR(__xludf.DUMMYFUNCTION("""COMPUTED_VALUE"""),0.401388888888888)</f>
        <v>0.40138888888888802</v>
      </c>
      <c r="F12" s="3">
        <f ca="1">IFERROR(__xludf.DUMMYFUNCTION("""COMPUTED_VALUE"""),0.406944444444444)</f>
        <v>0.406944444444444</v>
      </c>
      <c r="G12" s="3">
        <f ca="1">IFERROR(__xludf.DUMMYFUNCTION("""COMPUTED_VALUE"""),0.411111111111111)</f>
        <v>0.41111111111111098</v>
      </c>
      <c r="H12" s="3">
        <f ca="1">IFERROR(__xludf.DUMMYFUNCTION("""COMPUTED_VALUE"""),0.418055555555555)</f>
        <v>0.41805555555555501</v>
      </c>
      <c r="I12" s="3">
        <f ca="1">IFERROR(__xludf.DUMMYFUNCTION("""COMPUTED_VALUE"""),0.421527777777777)</f>
        <v>0.421527777777777</v>
      </c>
      <c r="J12" s="3">
        <f ca="1">IFERROR(__xludf.DUMMYFUNCTION("""COMPUTED_VALUE"""),0.425694444444444)</f>
        <v>0.42569444444444399</v>
      </c>
      <c r="K12" s="3">
        <f ca="1">IFERROR(__xludf.DUMMYFUNCTION("""COMPUTED_VALUE"""),0.430555555555555)</f>
        <v>0.43055555555555503</v>
      </c>
      <c r="M12" s="3">
        <v>0.3888888888888889</v>
      </c>
      <c r="N12" s="3">
        <v>0.3923611111111111</v>
      </c>
      <c r="O12" s="3">
        <v>0.39652777777777776</v>
      </c>
      <c r="P12" s="3">
        <v>0.40138888888888891</v>
      </c>
      <c r="Q12" s="3">
        <v>0.40694444444444444</v>
      </c>
      <c r="R12" s="3">
        <v>0.41111111111111109</v>
      </c>
      <c r="S12" s="3">
        <v>0.41805555555555557</v>
      </c>
      <c r="T12" s="3">
        <v>0.42152777777777778</v>
      </c>
      <c r="U12" s="3">
        <v>0.42569444444444443</v>
      </c>
      <c r="V12" s="3">
        <v>0.43055555555555558</v>
      </c>
      <c r="W12" s="4">
        <f t="shared" si="0"/>
        <v>4.1666666666666685E-2</v>
      </c>
    </row>
    <row r="13" spans="1:23" ht="15.75" customHeight="1" x14ac:dyDescent="0.15">
      <c r="A13" s="2" t="s">
        <v>219</v>
      </c>
      <c r="B13" s="3">
        <f ca="1">IFERROR(__xludf.DUMMYFUNCTION("SPLIT(A13,"" "")"),0.402777777777777)</f>
        <v>0.40277777777777701</v>
      </c>
      <c r="C13" s="3">
        <f ca="1">IFERROR(__xludf.DUMMYFUNCTION("""COMPUTED_VALUE"""),0.406944444444444)</f>
        <v>0.406944444444444</v>
      </c>
      <c r="D13" s="3">
        <f ca="1">IFERROR(__xludf.DUMMYFUNCTION("""COMPUTED_VALUE"""),0.411111111111111)</f>
        <v>0.41111111111111098</v>
      </c>
      <c r="E13" s="3">
        <f ca="1">IFERROR(__xludf.DUMMYFUNCTION("""COMPUTED_VALUE"""),0.417361111111111)</f>
        <v>0.41736111111111102</v>
      </c>
      <c r="F13" s="3">
        <f ca="1">IFERROR(__xludf.DUMMYFUNCTION("""COMPUTED_VALUE"""),0.423611111111111)</f>
        <v>0.42361111111111099</v>
      </c>
      <c r="G13" s="3">
        <f ca="1">IFERROR(__xludf.DUMMYFUNCTION("""COMPUTED_VALUE"""),0.428472222222222)</f>
        <v>0.42847222222222198</v>
      </c>
      <c r="H13" s="3">
        <f ca="1">IFERROR(__xludf.DUMMYFUNCTION("""COMPUTED_VALUE"""),0.435416666666666)</f>
        <v>0.43541666666666601</v>
      </c>
      <c r="I13" s="3">
        <f ca="1">IFERROR(__xludf.DUMMYFUNCTION("""COMPUTED_VALUE"""),0.438888888888888)</f>
        <v>0.438888888888888</v>
      </c>
      <c r="J13" s="3">
        <f ca="1">IFERROR(__xludf.DUMMYFUNCTION("""COMPUTED_VALUE"""),0.443055555555555)</f>
        <v>0.44305555555555498</v>
      </c>
      <c r="K13" s="3">
        <f ca="1">IFERROR(__xludf.DUMMYFUNCTION("""COMPUTED_VALUE"""),0.447916666666666)</f>
        <v>0.44791666666666602</v>
      </c>
      <c r="M13" s="3">
        <v>0.40277777777777779</v>
      </c>
      <c r="N13" s="3">
        <v>0.40694444444444444</v>
      </c>
      <c r="O13" s="3">
        <v>0.41111111111111109</v>
      </c>
      <c r="P13" s="3">
        <v>0.41736111111111113</v>
      </c>
      <c r="Q13" s="3">
        <v>0.4236111111111111</v>
      </c>
      <c r="R13" s="3">
        <v>0.4284722222222222</v>
      </c>
      <c r="S13" s="3">
        <v>0.43541666666666667</v>
      </c>
      <c r="T13" s="3">
        <v>0.43888888888888888</v>
      </c>
      <c r="U13" s="3">
        <v>0.44305555555555554</v>
      </c>
      <c r="V13" s="3">
        <v>0.44791666666666669</v>
      </c>
      <c r="W13" s="4">
        <f t="shared" si="0"/>
        <v>4.5138888888888895E-2</v>
      </c>
    </row>
    <row r="14" spans="1:23" ht="15.75" customHeight="1" x14ac:dyDescent="0.15">
      <c r="A14" s="2" t="s">
        <v>220</v>
      </c>
      <c r="B14" s="3">
        <f ca="1">IFERROR(__xludf.DUMMYFUNCTION("SPLIT(A14,"" "")"),0.416666666666666)</f>
        <v>0.41666666666666602</v>
      </c>
      <c r="C14" s="3">
        <f ca="1">IFERROR(__xludf.DUMMYFUNCTION("""COMPUTED_VALUE"""),0.420833333333333)</f>
        <v>0.420833333333333</v>
      </c>
      <c r="D14" s="3">
        <f ca="1">IFERROR(__xludf.DUMMYFUNCTION("""COMPUTED_VALUE"""),0.425694444444444)</f>
        <v>0.42569444444444399</v>
      </c>
      <c r="E14" s="3">
        <f ca="1">IFERROR(__xludf.DUMMYFUNCTION("""COMPUTED_VALUE"""),0.431944444444444)</f>
        <v>0.43194444444444402</v>
      </c>
      <c r="F14" s="3">
        <f ca="1">IFERROR(__xludf.DUMMYFUNCTION("""COMPUTED_VALUE"""),0.438888888888888)</f>
        <v>0.438888888888888</v>
      </c>
      <c r="G14" s="3">
        <f ca="1">IFERROR(__xludf.DUMMYFUNCTION("""COMPUTED_VALUE"""),0.444444444444444)</f>
        <v>0.44444444444444398</v>
      </c>
      <c r="H14" s="3">
        <f ca="1">IFERROR(__xludf.DUMMYFUNCTION("""COMPUTED_VALUE"""),0.452083333333333)</f>
        <v>0.452083333333333</v>
      </c>
      <c r="I14" s="3">
        <f ca="1">IFERROR(__xludf.DUMMYFUNCTION("""COMPUTED_VALUE"""),0.45625)</f>
        <v>0.45624999999999999</v>
      </c>
      <c r="J14" s="3">
        <f ca="1">IFERROR(__xludf.DUMMYFUNCTION("""COMPUTED_VALUE"""),0.461111111111111)</f>
        <v>0.46111111111111103</v>
      </c>
      <c r="K14" s="3">
        <f ca="1">IFERROR(__xludf.DUMMYFUNCTION("""COMPUTED_VALUE"""),0.466666666666666)</f>
        <v>0.46666666666666601</v>
      </c>
      <c r="M14" s="3">
        <v>0.41666666666666669</v>
      </c>
      <c r="N14" s="3">
        <v>0.42083333333333334</v>
      </c>
      <c r="O14" s="3">
        <v>0.42569444444444443</v>
      </c>
      <c r="P14" s="3">
        <v>0.43194444444444446</v>
      </c>
      <c r="Q14" s="3">
        <v>0.43888888888888888</v>
      </c>
      <c r="R14" s="3">
        <v>0.44444444444444442</v>
      </c>
      <c r="S14" s="3">
        <v>0.45208333333333334</v>
      </c>
      <c r="T14" s="3">
        <v>0.45624999999999999</v>
      </c>
      <c r="U14" s="3">
        <v>0.46111111111111114</v>
      </c>
      <c r="V14" s="3">
        <v>0.46666666666666667</v>
      </c>
      <c r="W14" s="4">
        <f t="shared" si="0"/>
        <v>4.9999999999999989E-2</v>
      </c>
    </row>
    <row r="15" spans="1:23" ht="15.75" customHeight="1" x14ac:dyDescent="0.15">
      <c r="A15" s="2" t="s">
        <v>221</v>
      </c>
      <c r="B15" s="3">
        <f ca="1">IFERROR(__xludf.DUMMYFUNCTION("SPLIT(A15,"" "")"),0.430555555555555)</f>
        <v>0.43055555555555503</v>
      </c>
      <c r="C15" s="3">
        <f ca="1">IFERROR(__xludf.DUMMYFUNCTION("""COMPUTED_VALUE"""),0.434722222222222)</f>
        <v>0.43472222222222201</v>
      </c>
      <c r="D15" s="3">
        <f ca="1">IFERROR(__xludf.DUMMYFUNCTION("""COMPUTED_VALUE"""),0.439583333333333)</f>
        <v>0.43958333333333299</v>
      </c>
      <c r="E15" s="3">
        <f ca="1">IFERROR(__xludf.DUMMYFUNCTION("""COMPUTED_VALUE"""),0.445833333333333)</f>
        <v>0.44583333333333303</v>
      </c>
      <c r="F15" s="3">
        <f ca="1">IFERROR(__xludf.DUMMYFUNCTION("""COMPUTED_VALUE"""),0.452777777777777)</f>
        <v>0.452777777777777</v>
      </c>
      <c r="G15" s="3">
        <f ca="1">IFERROR(__xludf.DUMMYFUNCTION("""COMPUTED_VALUE"""),0.458333333333333)</f>
        <v>0.45833333333333298</v>
      </c>
      <c r="H15" s="3">
        <f ca="1">IFERROR(__xludf.DUMMYFUNCTION("""COMPUTED_VALUE"""),0.465972222222222)</f>
        <v>0.46597222222222201</v>
      </c>
      <c r="I15" s="3">
        <f ca="1">IFERROR(__xludf.DUMMYFUNCTION("""COMPUTED_VALUE"""),0.470138888888888)</f>
        <v>0.470138888888888</v>
      </c>
      <c r="J15" s="3">
        <f ca="1">IFERROR(__xludf.DUMMYFUNCTION("""COMPUTED_VALUE"""),0.475)</f>
        <v>0.47499999999999998</v>
      </c>
      <c r="K15" s="3">
        <f ca="1">IFERROR(__xludf.DUMMYFUNCTION("""COMPUTED_VALUE"""),0.480555555555555)</f>
        <v>0.48055555555555501</v>
      </c>
      <c r="M15" s="3">
        <v>0.43055555555555558</v>
      </c>
      <c r="N15" s="3">
        <v>0.43472222222222223</v>
      </c>
      <c r="O15" s="3">
        <v>0.43958333333333333</v>
      </c>
      <c r="P15" s="3">
        <v>0.44583333333333336</v>
      </c>
      <c r="Q15" s="3">
        <v>0.45277777777777778</v>
      </c>
      <c r="R15" s="3">
        <v>0.45833333333333331</v>
      </c>
      <c r="S15" s="3">
        <v>0.46597222222222223</v>
      </c>
      <c r="T15" s="3">
        <v>0.47013888888888888</v>
      </c>
      <c r="U15" s="3">
        <v>0.47499999999999998</v>
      </c>
      <c r="V15" s="3">
        <v>0.48055555555555557</v>
      </c>
      <c r="W15" s="4">
        <f t="shared" si="0"/>
        <v>4.9999999999999989E-2</v>
      </c>
    </row>
    <row r="16" spans="1:23" ht="15.75" customHeight="1" x14ac:dyDescent="0.15">
      <c r="A16" s="2" t="s">
        <v>222</v>
      </c>
      <c r="B16" s="3">
        <f ca="1">IFERROR(__xludf.DUMMYFUNCTION("SPLIT(A16,"" "")"),0.444444444444444)</f>
        <v>0.44444444444444398</v>
      </c>
      <c r="C16" s="3">
        <f ca="1">IFERROR(__xludf.DUMMYFUNCTION("""COMPUTED_VALUE"""),0.448611111111111)</f>
        <v>0.44861111111111102</v>
      </c>
      <c r="D16" s="3">
        <f ca="1">IFERROR(__xludf.DUMMYFUNCTION("""COMPUTED_VALUE"""),0.453472222222222)</f>
        <v>0.453472222222222</v>
      </c>
      <c r="E16" s="3">
        <f ca="1">IFERROR(__xludf.DUMMYFUNCTION("""COMPUTED_VALUE"""),0.459722222222222)</f>
        <v>0.45972222222222198</v>
      </c>
      <c r="F16" s="3">
        <f ca="1">IFERROR(__xludf.DUMMYFUNCTION("""COMPUTED_VALUE"""),0.466666666666666)</f>
        <v>0.46666666666666601</v>
      </c>
      <c r="G16" s="3">
        <f ca="1">IFERROR(__xludf.DUMMYFUNCTION("""COMPUTED_VALUE"""),0.472222222222222)</f>
        <v>0.47222222222222199</v>
      </c>
      <c r="H16" s="3">
        <f ca="1">IFERROR(__xludf.DUMMYFUNCTION("""COMPUTED_VALUE"""),0.479861111111111)</f>
        <v>0.47986111111111102</v>
      </c>
      <c r="I16" s="3">
        <f ca="1">IFERROR(__xludf.DUMMYFUNCTION("""COMPUTED_VALUE"""),0.484027777777777)</f>
        <v>0.484027777777777</v>
      </c>
      <c r="J16" s="3">
        <f ca="1">IFERROR(__xludf.DUMMYFUNCTION("""COMPUTED_VALUE"""),0.488888888888888)</f>
        <v>0.48888888888888798</v>
      </c>
      <c r="K16" s="3">
        <f ca="1">IFERROR(__xludf.DUMMYFUNCTION("""COMPUTED_VALUE"""),0.494444444444444)</f>
        <v>0.49444444444444402</v>
      </c>
      <c r="M16" s="3">
        <v>0.44444444444444442</v>
      </c>
      <c r="N16" s="3">
        <v>0.44861111111111113</v>
      </c>
      <c r="O16" s="3">
        <v>0.45347222222222222</v>
      </c>
      <c r="P16" s="3">
        <v>0.4597222222222222</v>
      </c>
      <c r="Q16" s="3">
        <v>0.46666666666666667</v>
      </c>
      <c r="R16" s="3">
        <v>0.47222222222222221</v>
      </c>
      <c r="S16" s="3">
        <v>0.47986111111111113</v>
      </c>
      <c r="T16" s="3">
        <v>0.48402777777777778</v>
      </c>
      <c r="U16" s="3">
        <v>0.48888888888888887</v>
      </c>
      <c r="V16" s="3">
        <v>0.49444444444444446</v>
      </c>
      <c r="W16" s="4">
        <f t="shared" si="0"/>
        <v>5.0000000000000044E-2</v>
      </c>
    </row>
    <row r="17" spans="1:23" ht="15.75" customHeight="1" x14ac:dyDescent="0.15">
      <c r="A17" s="2" t="s">
        <v>223</v>
      </c>
      <c r="B17" s="3">
        <f ca="1">IFERROR(__xludf.DUMMYFUNCTION("SPLIT(A17,"" "")"),0.458333333333333)</f>
        <v>0.45833333333333298</v>
      </c>
      <c r="C17" s="3">
        <f ca="1">IFERROR(__xludf.DUMMYFUNCTION("""COMPUTED_VALUE"""),0.4625)</f>
        <v>0.46250000000000002</v>
      </c>
      <c r="D17" s="3">
        <f ca="1">IFERROR(__xludf.DUMMYFUNCTION("""COMPUTED_VALUE"""),0.467361111111111)</f>
        <v>0.46736111111111101</v>
      </c>
      <c r="E17" s="3">
        <f ca="1">IFERROR(__xludf.DUMMYFUNCTION("""COMPUTED_VALUE"""),0.473611111111111)</f>
        <v>0.47361111111111098</v>
      </c>
      <c r="F17" s="3">
        <f ca="1">IFERROR(__xludf.DUMMYFUNCTION("""COMPUTED_VALUE"""),0.480555555555555)</f>
        <v>0.48055555555555501</v>
      </c>
      <c r="G17" s="3">
        <f ca="1">IFERROR(__xludf.DUMMYFUNCTION("""COMPUTED_VALUE"""),0.486111111111111)</f>
        <v>0.48611111111111099</v>
      </c>
      <c r="H17" s="3">
        <f ca="1">IFERROR(__xludf.DUMMYFUNCTION("""COMPUTED_VALUE"""),0.49375)</f>
        <v>0.49375000000000002</v>
      </c>
      <c r="I17" s="3">
        <f ca="1">IFERROR(__xludf.DUMMYFUNCTION("""COMPUTED_VALUE"""),0.497916666666666)</f>
        <v>0.49791666666666601</v>
      </c>
      <c r="J17" s="3">
        <f ca="1">IFERROR(__xludf.DUMMYFUNCTION("""COMPUTED_VALUE"""),0.502777777777777)</f>
        <v>0.50277777777777699</v>
      </c>
      <c r="K17" s="3">
        <f ca="1">IFERROR(__xludf.DUMMYFUNCTION("""COMPUTED_VALUE"""),0.508333333333333)</f>
        <v>0.50833333333333297</v>
      </c>
      <c r="M17" s="3">
        <v>0.45833333333333331</v>
      </c>
      <c r="N17" s="3">
        <v>0.46250000000000002</v>
      </c>
      <c r="O17" s="3">
        <v>0.46736111111111112</v>
      </c>
      <c r="P17" s="3">
        <v>0.47361111111111109</v>
      </c>
      <c r="Q17" s="3">
        <v>0.48055555555555557</v>
      </c>
      <c r="R17" s="3">
        <v>0.4861111111111111</v>
      </c>
      <c r="S17" s="3">
        <v>0.49375000000000002</v>
      </c>
      <c r="T17" s="3">
        <v>0.49791666666666667</v>
      </c>
      <c r="U17" s="3">
        <v>0.50277777777777777</v>
      </c>
      <c r="V17" s="3">
        <v>0.5083333333333333</v>
      </c>
      <c r="W17" s="4">
        <f t="shared" si="0"/>
        <v>4.9999999999999989E-2</v>
      </c>
    </row>
    <row r="18" spans="1:23" ht="15.75" customHeight="1" x14ac:dyDescent="0.15">
      <c r="A18" s="2" t="s">
        <v>224</v>
      </c>
      <c r="B18" s="3">
        <f ca="1">IFERROR(__xludf.DUMMYFUNCTION("SPLIT(A18,"" "")"),0.472222222222222)</f>
        <v>0.47222222222222199</v>
      </c>
      <c r="C18" s="3">
        <f ca="1">IFERROR(__xludf.DUMMYFUNCTION("""COMPUTED_VALUE"""),0.476388888888888)</f>
        <v>0.47638888888888797</v>
      </c>
      <c r="D18" s="3">
        <f ca="1">IFERROR(__xludf.DUMMYFUNCTION("""COMPUTED_VALUE"""),0.481944444444444)</f>
        <v>0.48194444444444401</v>
      </c>
      <c r="E18" s="3">
        <f ca="1">IFERROR(__xludf.DUMMYFUNCTION("""COMPUTED_VALUE"""),0.489583333333333)</f>
        <v>0.48958333333333298</v>
      </c>
      <c r="F18" s="3">
        <f ca="1">IFERROR(__xludf.DUMMYFUNCTION("""COMPUTED_VALUE"""),0.497222222222222)</f>
        <v>0.49722222222222201</v>
      </c>
      <c r="G18" s="3">
        <f ca="1">IFERROR(__xludf.DUMMYFUNCTION("""COMPUTED_VALUE"""),0.503472222222222)</f>
        <v>0.50347222222222199</v>
      </c>
      <c r="H18" s="3">
        <f ca="1">IFERROR(__xludf.DUMMYFUNCTION("""COMPUTED_VALUE"""),0.511805555555555)</f>
        <v>0.51180555555555496</v>
      </c>
      <c r="I18" s="3">
        <f ca="1">IFERROR(__xludf.DUMMYFUNCTION("""COMPUTED_VALUE"""),0.516666666666666)</f>
        <v>0.51666666666666605</v>
      </c>
      <c r="J18" s="3">
        <f ca="1">IFERROR(__xludf.DUMMYFUNCTION("""COMPUTED_VALUE"""),0.520833333333333)</f>
        <v>0.52083333333333304</v>
      </c>
      <c r="K18" s="3">
        <f ca="1">IFERROR(__xludf.DUMMYFUNCTION("""COMPUTED_VALUE"""),0.526388888888888)</f>
        <v>0.52638888888888802</v>
      </c>
      <c r="M18" s="3">
        <v>0.47222222222222221</v>
      </c>
      <c r="N18" s="3">
        <v>0.47638888888888886</v>
      </c>
      <c r="O18" s="3">
        <v>0.48194444444444445</v>
      </c>
      <c r="P18" s="3">
        <v>0.48958333333333331</v>
      </c>
      <c r="Q18" s="3">
        <v>0.49722222222222223</v>
      </c>
      <c r="R18" s="3">
        <v>0.50347222222222221</v>
      </c>
      <c r="S18" s="3">
        <v>0.51180555555555551</v>
      </c>
      <c r="T18" s="3">
        <v>0.51666666666666672</v>
      </c>
      <c r="U18" s="3">
        <v>0.52083333333333337</v>
      </c>
      <c r="V18" s="3">
        <v>0.52638888888888891</v>
      </c>
      <c r="W18" s="4">
        <f t="shared" si="0"/>
        <v>5.4166666666666696E-2</v>
      </c>
    </row>
    <row r="19" spans="1:23" ht="15.75" customHeight="1" x14ac:dyDescent="0.15">
      <c r="A19" s="2" t="s">
        <v>225</v>
      </c>
      <c r="B19" s="3">
        <f ca="1">IFERROR(__xludf.DUMMYFUNCTION("SPLIT(A19,"" "")"),0.486111111111111)</f>
        <v>0.48611111111111099</v>
      </c>
      <c r="C19" s="3">
        <f ca="1">IFERROR(__xludf.DUMMYFUNCTION("""COMPUTED_VALUE"""),0.490277777777777)</f>
        <v>0.49027777777777698</v>
      </c>
      <c r="D19" s="3">
        <f ca="1">IFERROR(__xludf.DUMMYFUNCTION("""COMPUTED_VALUE"""),0.495833333333333)</f>
        <v>0.49583333333333302</v>
      </c>
      <c r="E19" s="3">
        <f ca="1">IFERROR(__xludf.DUMMYFUNCTION("""COMPUTED_VALUE"""),0.503472222222222)</f>
        <v>0.50347222222222199</v>
      </c>
      <c r="F19" s="3">
        <f ca="1">IFERROR(__xludf.DUMMYFUNCTION("""COMPUTED_VALUE"""),0.511111111111111)</f>
        <v>0.51111111111111096</v>
      </c>
      <c r="G19" s="3">
        <f ca="1">IFERROR(__xludf.DUMMYFUNCTION("""COMPUTED_VALUE"""),0.517361111111111)</f>
        <v>0.51736111111111105</v>
      </c>
      <c r="H19" s="3">
        <f ca="1">IFERROR(__xludf.DUMMYFUNCTION("""COMPUTED_VALUE"""),0.525694444444444)</f>
        <v>0.52569444444444402</v>
      </c>
      <c r="I19" s="3">
        <f ca="1">IFERROR(__xludf.DUMMYFUNCTION("""COMPUTED_VALUE"""),0.530555555555555)</f>
        <v>0.530555555555555</v>
      </c>
      <c r="J19" s="3">
        <f ca="1">IFERROR(__xludf.DUMMYFUNCTION("""COMPUTED_VALUE"""),0.534722222222222)</f>
        <v>0.53472222222222199</v>
      </c>
      <c r="K19" s="3">
        <f ca="1">IFERROR(__xludf.DUMMYFUNCTION("""COMPUTED_VALUE"""),0.540277777777777)</f>
        <v>0.54027777777777697</v>
      </c>
      <c r="M19" s="3">
        <v>0.4861111111111111</v>
      </c>
      <c r="N19" s="3">
        <v>0.49027777777777776</v>
      </c>
      <c r="O19" s="3">
        <v>0.49583333333333335</v>
      </c>
      <c r="P19" s="3">
        <v>0.50347222222222221</v>
      </c>
      <c r="Q19" s="3">
        <v>0.51111111111111107</v>
      </c>
      <c r="R19" s="3">
        <v>0.51736111111111116</v>
      </c>
      <c r="S19" s="3">
        <v>0.52569444444444446</v>
      </c>
      <c r="T19" s="3">
        <v>0.53055555555555556</v>
      </c>
      <c r="U19" s="3">
        <v>0.53472222222222221</v>
      </c>
      <c r="V19" s="3">
        <v>0.54027777777777775</v>
      </c>
      <c r="W19" s="4">
        <f t="shared" si="0"/>
        <v>5.4166666666666641E-2</v>
      </c>
    </row>
    <row r="20" spans="1:23" ht="15.75" customHeight="1" x14ac:dyDescent="0.15">
      <c r="A20" s="2" t="s">
        <v>226</v>
      </c>
      <c r="B20" s="3">
        <f ca="1">IFERROR(__xludf.DUMMYFUNCTION("SPLIT(A20,"" "")"),0.5)</f>
        <v>0.5</v>
      </c>
      <c r="C20" s="3">
        <f ca="1">IFERROR(__xludf.DUMMYFUNCTION("""COMPUTED_VALUE"""),0.504166666666666)</f>
        <v>0.50416666666666599</v>
      </c>
      <c r="D20" s="3">
        <f ca="1">IFERROR(__xludf.DUMMYFUNCTION("""COMPUTED_VALUE"""),0.509722222222222)</f>
        <v>0.50972222222222197</v>
      </c>
      <c r="E20" s="3">
        <f ca="1">IFERROR(__xludf.DUMMYFUNCTION("""COMPUTED_VALUE"""),0.517361111111111)</f>
        <v>0.51736111111111105</v>
      </c>
      <c r="F20" s="3">
        <f ca="1">IFERROR(__xludf.DUMMYFUNCTION("""COMPUTED_VALUE"""),0.525)</f>
        <v>0.52500000000000002</v>
      </c>
      <c r="G20" s="3">
        <f ca="1">IFERROR(__xludf.DUMMYFUNCTION("""COMPUTED_VALUE"""),0.53125)</f>
        <v>0.53125</v>
      </c>
      <c r="H20" s="3">
        <f ca="1">IFERROR(__xludf.DUMMYFUNCTION("""COMPUTED_VALUE"""),0.539583333333333)</f>
        <v>0.53958333333333297</v>
      </c>
      <c r="I20" s="3">
        <f ca="1">IFERROR(__xludf.DUMMYFUNCTION("""COMPUTED_VALUE"""),0.0444444444444444)</f>
        <v>4.4444444444444398E-2</v>
      </c>
      <c r="J20" s="3">
        <f ca="1">IFERROR(__xludf.DUMMYFUNCTION("""COMPUTED_VALUE"""),0.0486111111111111)</f>
        <v>4.8611111111111098E-2</v>
      </c>
      <c r="K20" s="3">
        <f ca="1">IFERROR(__xludf.DUMMYFUNCTION("""COMPUTED_VALUE"""),0.0541666666666666)</f>
        <v>5.4166666666666599E-2</v>
      </c>
      <c r="M20" s="3">
        <v>0.5</v>
      </c>
      <c r="N20" s="3">
        <v>0.50416666666666665</v>
      </c>
      <c r="O20" s="3">
        <v>0.50972222222222219</v>
      </c>
      <c r="P20" s="3">
        <v>0.51736111111111116</v>
      </c>
      <c r="Q20" s="3">
        <v>0.52500000000000002</v>
      </c>
      <c r="R20" s="3">
        <v>0.53125</v>
      </c>
      <c r="S20" s="3">
        <v>0.5395833333333333</v>
      </c>
      <c r="T20" s="3">
        <v>0.5444444444444444</v>
      </c>
      <c r="U20" s="3">
        <v>0.54861111111111116</v>
      </c>
      <c r="V20" s="3">
        <v>0.5541666666666667</v>
      </c>
      <c r="W20" s="4">
        <f t="shared" si="0"/>
        <v>5.4166666666666696E-2</v>
      </c>
    </row>
    <row r="21" spans="1:23" ht="15.75" customHeight="1" x14ac:dyDescent="0.15">
      <c r="A21" s="2" t="s">
        <v>227</v>
      </c>
      <c r="B21" s="3">
        <f ca="1">IFERROR(__xludf.DUMMYFUNCTION("SPLIT(A21,"" "")"),0.513888888888888)</f>
        <v>0.51388888888888795</v>
      </c>
      <c r="C21" s="3">
        <f ca="1">IFERROR(__xludf.DUMMYFUNCTION("""COMPUTED_VALUE"""),0.518055555555555)</f>
        <v>0.51805555555555505</v>
      </c>
      <c r="D21" s="3">
        <f ca="1">IFERROR(__xludf.DUMMYFUNCTION("""COMPUTED_VALUE"""),0.523611111111111)</f>
        <v>0.52361111111111103</v>
      </c>
      <c r="E21" s="3">
        <f ca="1">IFERROR(__xludf.DUMMYFUNCTION("""COMPUTED_VALUE"""),0.53125)</f>
        <v>0.53125</v>
      </c>
      <c r="F21" s="3">
        <f ca="1">IFERROR(__xludf.DUMMYFUNCTION("""COMPUTED_VALUE"""),0.538888888888888)</f>
        <v>0.53888888888888797</v>
      </c>
      <c r="G21" s="3">
        <f ca="1">IFERROR(__xludf.DUMMYFUNCTION("""COMPUTED_VALUE"""),0.0451388888888888)</f>
        <v>4.5138888888888798E-2</v>
      </c>
      <c r="H21" s="3">
        <f ca="1">IFERROR(__xludf.DUMMYFUNCTION("""COMPUTED_VALUE"""),0.0534722222222222)</f>
        <v>5.3472222222222199E-2</v>
      </c>
      <c r="I21" s="3">
        <f ca="1">IFERROR(__xludf.DUMMYFUNCTION("""COMPUTED_VALUE"""),0.0583333333333333)</f>
        <v>5.83333333333333E-2</v>
      </c>
      <c r="J21" s="3">
        <f ca="1">IFERROR(__xludf.DUMMYFUNCTION("""COMPUTED_VALUE"""),0.0625)</f>
        <v>6.25E-2</v>
      </c>
      <c r="K21" s="3">
        <f ca="1">IFERROR(__xludf.DUMMYFUNCTION("""COMPUTED_VALUE"""),0.0680555555555555)</f>
        <v>6.8055555555555494E-2</v>
      </c>
      <c r="M21" s="3">
        <v>0.51388888888888884</v>
      </c>
      <c r="N21" s="3">
        <v>0.5180555555555556</v>
      </c>
      <c r="O21" s="3">
        <v>0.52361111111111114</v>
      </c>
      <c r="P21" s="3">
        <v>0.53125</v>
      </c>
      <c r="Q21" s="3">
        <v>0.53888888888888886</v>
      </c>
      <c r="R21" s="3">
        <v>0.54513888888888884</v>
      </c>
      <c r="S21" s="3">
        <v>0.55347222222222225</v>
      </c>
      <c r="T21" s="3">
        <v>0.55833333333333335</v>
      </c>
      <c r="U21" s="3">
        <v>0.5625</v>
      </c>
      <c r="V21" s="3">
        <v>0.56805555555555554</v>
      </c>
      <c r="W21" s="4">
        <f t="shared" si="0"/>
        <v>5.4166666666666696E-2</v>
      </c>
    </row>
    <row r="22" spans="1:23" ht="15.75" customHeight="1" x14ac:dyDescent="0.15">
      <c r="A22" s="2" t="s">
        <v>228</v>
      </c>
      <c r="B22" s="3">
        <f ca="1">IFERROR(__xludf.DUMMYFUNCTION("SPLIT(A22,"" "")"),0.527777777777777)</f>
        <v>0.52777777777777701</v>
      </c>
      <c r="C22" s="3">
        <f ca="1">IFERROR(__xludf.DUMMYFUNCTION("""COMPUTED_VALUE"""),0.531944444444444)</f>
        <v>0.531944444444444</v>
      </c>
      <c r="D22" s="3">
        <f ca="1">IFERROR(__xludf.DUMMYFUNCTION("""COMPUTED_VALUE"""),0.5375)</f>
        <v>0.53749999999999998</v>
      </c>
      <c r="E22" s="3">
        <f ca="1">IFERROR(__xludf.DUMMYFUNCTION("""COMPUTED_VALUE"""),0.0451388888888888)</f>
        <v>4.5138888888888798E-2</v>
      </c>
      <c r="F22" s="3">
        <f ca="1">IFERROR(__xludf.DUMMYFUNCTION("""COMPUTED_VALUE"""),0.0527777777777777)</f>
        <v>5.2777777777777701E-2</v>
      </c>
      <c r="G22" s="3">
        <f ca="1">IFERROR(__xludf.DUMMYFUNCTION("""COMPUTED_VALUE"""),0.0590277777777777)</f>
        <v>5.90277777777777E-2</v>
      </c>
      <c r="H22" s="3">
        <f ca="1">IFERROR(__xludf.DUMMYFUNCTION("""COMPUTED_VALUE"""),0.0673611111111111)</f>
        <v>6.7361111111111094E-2</v>
      </c>
      <c r="I22" s="3">
        <f ca="1">IFERROR(__xludf.DUMMYFUNCTION("""COMPUTED_VALUE"""),0.0722222222222222)</f>
        <v>7.2222222222222202E-2</v>
      </c>
      <c r="J22" s="3">
        <f ca="1">IFERROR(__xludf.DUMMYFUNCTION("""COMPUTED_VALUE"""),0.0763888888888889)</f>
        <v>7.6388888888888895E-2</v>
      </c>
      <c r="K22" s="3">
        <f ca="1">IFERROR(__xludf.DUMMYFUNCTION("""COMPUTED_VALUE"""),0.0819444444444444)</f>
        <v>8.1944444444444403E-2</v>
      </c>
      <c r="M22" s="3">
        <v>0.52777777777777779</v>
      </c>
      <c r="N22" s="3">
        <v>0.53194444444444444</v>
      </c>
      <c r="O22" s="3">
        <v>0.53749999999999998</v>
      </c>
      <c r="P22" s="3">
        <v>0.54513888888888884</v>
      </c>
      <c r="Q22" s="3">
        <v>0.55277777777777781</v>
      </c>
      <c r="R22" s="3">
        <v>0.55902777777777779</v>
      </c>
      <c r="S22" s="3">
        <v>0.56736111111111109</v>
      </c>
      <c r="T22" s="3">
        <v>0.57222222222222219</v>
      </c>
      <c r="U22" s="3">
        <v>0.57638888888888884</v>
      </c>
      <c r="V22" s="3">
        <v>0.58194444444444449</v>
      </c>
      <c r="W22" s="4">
        <f t="shared" si="0"/>
        <v>5.4166666666666696E-2</v>
      </c>
    </row>
    <row r="23" spans="1:23" ht="15.75" customHeight="1" x14ac:dyDescent="0.15">
      <c r="A23" s="2" t="s">
        <v>229</v>
      </c>
      <c r="B23" s="3">
        <f ca="1">IFERROR(__xludf.DUMMYFUNCTION("SPLIT(A23,"" "")"),0.0416666666666666)</f>
        <v>4.1666666666666602E-2</v>
      </c>
      <c r="C23" s="3">
        <f ca="1">IFERROR(__xludf.DUMMYFUNCTION("""COMPUTED_VALUE"""),0.0458333333333333)</f>
        <v>4.5833333333333302E-2</v>
      </c>
      <c r="D23" s="3">
        <f ca="1">IFERROR(__xludf.DUMMYFUNCTION("""COMPUTED_VALUE"""),0.0513888888888888)</f>
        <v>5.1388888888888803E-2</v>
      </c>
      <c r="E23" s="3">
        <f ca="1">IFERROR(__xludf.DUMMYFUNCTION("""COMPUTED_VALUE"""),0.0590277777777777)</f>
        <v>5.90277777777777E-2</v>
      </c>
      <c r="F23" s="3">
        <f ca="1">IFERROR(__xludf.DUMMYFUNCTION("""COMPUTED_VALUE"""),0.0666666666666666)</f>
        <v>6.6666666666666596E-2</v>
      </c>
      <c r="G23" s="3">
        <f ca="1">IFERROR(__xludf.DUMMYFUNCTION("""COMPUTED_VALUE"""),0.0729166666666666)</f>
        <v>7.2916666666666602E-2</v>
      </c>
      <c r="H23" s="3">
        <f ca="1">IFERROR(__xludf.DUMMYFUNCTION("""COMPUTED_VALUE"""),0.08125)</f>
        <v>8.1250000000000003E-2</v>
      </c>
      <c r="I23" s="3">
        <f ca="1">IFERROR(__xludf.DUMMYFUNCTION("""COMPUTED_VALUE"""),0.0861111111111111)</f>
        <v>8.6111111111111097E-2</v>
      </c>
      <c r="J23" s="3">
        <f ca="1">IFERROR(__xludf.DUMMYFUNCTION("""COMPUTED_VALUE"""),0.0902777777777777)</f>
        <v>9.0277777777777707E-2</v>
      </c>
      <c r="K23" s="3">
        <f ca="1">IFERROR(__xludf.DUMMYFUNCTION("""COMPUTED_VALUE"""),0.0958333333333333)</f>
        <v>9.5833333333333298E-2</v>
      </c>
      <c r="M23" s="3">
        <f t="shared" ref="M23:V23" ca="1" si="1">B23+0.5</f>
        <v>0.54166666666666663</v>
      </c>
      <c r="N23" s="3">
        <f t="shared" ca="1" si="1"/>
        <v>0.54583333333333328</v>
      </c>
      <c r="O23" s="3">
        <f t="shared" ca="1" si="1"/>
        <v>0.55138888888888882</v>
      </c>
      <c r="P23" s="3">
        <f t="shared" ca="1" si="1"/>
        <v>0.55902777777777768</v>
      </c>
      <c r="Q23" s="3">
        <f t="shared" ca="1" si="1"/>
        <v>0.56666666666666665</v>
      </c>
      <c r="R23" s="3">
        <f t="shared" ca="1" si="1"/>
        <v>0.57291666666666663</v>
      </c>
      <c r="S23" s="3">
        <f t="shared" ca="1" si="1"/>
        <v>0.58125000000000004</v>
      </c>
      <c r="T23" s="3">
        <f t="shared" ca="1" si="1"/>
        <v>0.58611111111111114</v>
      </c>
      <c r="U23" s="3">
        <f t="shared" ca="1" si="1"/>
        <v>0.59027777777777768</v>
      </c>
      <c r="V23" s="3">
        <f t="shared" ca="1" si="1"/>
        <v>0.59583333333333333</v>
      </c>
      <c r="W23" s="4">
        <f t="shared" ca="1" si="0"/>
        <v>5.4166666666666696E-2</v>
      </c>
    </row>
    <row r="24" spans="1:23" ht="15.75" customHeight="1" x14ac:dyDescent="0.15">
      <c r="A24" s="2" t="s">
        <v>230</v>
      </c>
      <c r="B24" s="3">
        <f ca="1">IFERROR(__xludf.DUMMYFUNCTION("SPLIT(A24,"" "")"),0.0555555555555555)</f>
        <v>5.5555555555555497E-2</v>
      </c>
      <c r="C24" s="3">
        <f ca="1">IFERROR(__xludf.DUMMYFUNCTION("""COMPUTED_VALUE"""),0.0597222222222222)</f>
        <v>5.9722222222222197E-2</v>
      </c>
      <c r="D24" s="3">
        <f ca="1">IFERROR(__xludf.DUMMYFUNCTION("""COMPUTED_VALUE"""),0.0652777777777777)</f>
        <v>6.5277777777777699E-2</v>
      </c>
      <c r="E24" s="3">
        <f ca="1">IFERROR(__xludf.DUMMYFUNCTION("""COMPUTED_VALUE"""),0.0729166666666666)</f>
        <v>7.2916666666666602E-2</v>
      </c>
      <c r="F24" s="3">
        <f ca="1">IFERROR(__xludf.DUMMYFUNCTION("""COMPUTED_VALUE"""),0.0805555555555555)</f>
        <v>8.0555555555555505E-2</v>
      </c>
      <c r="G24" s="3">
        <f ca="1">IFERROR(__xludf.DUMMYFUNCTION("""COMPUTED_VALUE"""),0.0868055555555555)</f>
        <v>8.6805555555555497E-2</v>
      </c>
      <c r="H24" s="3">
        <f ca="1">IFERROR(__xludf.DUMMYFUNCTION("""COMPUTED_VALUE"""),0.0951388888888888)</f>
        <v>9.5138888888888801E-2</v>
      </c>
      <c r="I24" s="3">
        <f ca="1">IFERROR(__xludf.DUMMYFUNCTION("""COMPUTED_VALUE"""),0.1)</f>
        <v>0.1</v>
      </c>
      <c r="J24" s="3">
        <f ca="1">IFERROR(__xludf.DUMMYFUNCTION("""COMPUTED_VALUE"""),0.104166666666666)</f>
        <v>0.10416666666666601</v>
      </c>
      <c r="K24" s="3">
        <f ca="1">IFERROR(__xludf.DUMMYFUNCTION("""COMPUTED_VALUE"""),0.109722222222222)</f>
        <v>0.109722222222222</v>
      </c>
      <c r="M24" s="3">
        <f t="shared" ref="M24:V24" ca="1" si="2">B24+0.5</f>
        <v>0.55555555555555547</v>
      </c>
      <c r="N24" s="3">
        <f t="shared" ca="1" si="2"/>
        <v>0.55972222222222223</v>
      </c>
      <c r="O24" s="3">
        <f t="shared" ca="1" si="2"/>
        <v>0.56527777777777766</v>
      </c>
      <c r="P24" s="3">
        <f t="shared" ca="1" si="2"/>
        <v>0.57291666666666663</v>
      </c>
      <c r="Q24" s="3">
        <f t="shared" ca="1" si="2"/>
        <v>0.58055555555555549</v>
      </c>
      <c r="R24" s="3">
        <f t="shared" ca="1" si="2"/>
        <v>0.58680555555555547</v>
      </c>
      <c r="S24" s="3">
        <f t="shared" ca="1" si="2"/>
        <v>0.59513888888888877</v>
      </c>
      <c r="T24" s="3">
        <f t="shared" ca="1" si="2"/>
        <v>0.6</v>
      </c>
      <c r="U24" s="3">
        <f t="shared" ca="1" si="2"/>
        <v>0.60416666666666596</v>
      </c>
      <c r="V24" s="3">
        <f t="shared" ca="1" si="2"/>
        <v>0.60972222222222205</v>
      </c>
      <c r="W24" s="4">
        <f t="shared" ca="1" si="0"/>
        <v>5.4166666666666585E-2</v>
      </c>
    </row>
    <row r="25" spans="1:23" ht="15.75" customHeight="1" x14ac:dyDescent="0.15">
      <c r="A25" s="2" t="s">
        <v>231</v>
      </c>
      <c r="B25" s="3">
        <f ca="1">IFERROR(__xludf.DUMMYFUNCTION("SPLIT(A25,"" "")"),0.0694444444444444)</f>
        <v>6.9444444444444406E-2</v>
      </c>
      <c r="C25" s="3">
        <f ca="1">IFERROR(__xludf.DUMMYFUNCTION("""COMPUTED_VALUE"""),0.0736111111111111)</f>
        <v>7.3611111111111099E-2</v>
      </c>
      <c r="D25" s="3">
        <f ca="1">IFERROR(__xludf.DUMMYFUNCTION("""COMPUTED_VALUE"""),0.0791666666666666)</f>
        <v>7.9166666666666594E-2</v>
      </c>
      <c r="E25" s="3">
        <f ca="1">IFERROR(__xludf.DUMMYFUNCTION("""COMPUTED_VALUE"""),0.0868055555555555)</f>
        <v>8.6805555555555497E-2</v>
      </c>
      <c r="F25" s="3">
        <f ca="1">IFERROR(__xludf.DUMMYFUNCTION("""COMPUTED_VALUE"""),0.0944444444444444)</f>
        <v>9.44444444444444E-2</v>
      </c>
      <c r="G25" s="3">
        <f ca="1">IFERROR(__xludf.DUMMYFUNCTION("""COMPUTED_VALUE"""),0.100694444444444)</f>
        <v>0.100694444444444</v>
      </c>
      <c r="H25" s="3">
        <f ca="1">IFERROR(__xludf.DUMMYFUNCTION("""COMPUTED_VALUE"""),0.109027777777777)</f>
        <v>0.109027777777777</v>
      </c>
      <c r="I25" s="3">
        <f ca="1">IFERROR(__xludf.DUMMYFUNCTION("""COMPUTED_VALUE"""),0.113888888888888)</f>
        <v>0.113888888888888</v>
      </c>
      <c r="J25" s="3">
        <f ca="1">IFERROR(__xludf.DUMMYFUNCTION("""COMPUTED_VALUE"""),0.118055555555555)</f>
        <v>0.118055555555555</v>
      </c>
      <c r="K25" s="3">
        <f ca="1">IFERROR(__xludf.DUMMYFUNCTION("""COMPUTED_VALUE"""),0.123611111111111)</f>
        <v>0.12361111111111101</v>
      </c>
      <c r="M25" s="3">
        <f t="shared" ref="M25:V25" ca="1" si="3">B25+0.5</f>
        <v>0.56944444444444442</v>
      </c>
      <c r="N25" s="3">
        <f t="shared" ca="1" si="3"/>
        <v>0.57361111111111107</v>
      </c>
      <c r="O25" s="3">
        <f t="shared" ca="1" si="3"/>
        <v>0.57916666666666661</v>
      </c>
      <c r="P25" s="3">
        <f t="shared" ca="1" si="3"/>
        <v>0.58680555555555547</v>
      </c>
      <c r="Q25" s="3">
        <f t="shared" ca="1" si="3"/>
        <v>0.59444444444444444</v>
      </c>
      <c r="R25" s="3">
        <f t="shared" ca="1" si="3"/>
        <v>0.60069444444444398</v>
      </c>
      <c r="S25" s="3">
        <f t="shared" ca="1" si="3"/>
        <v>0.60902777777777706</v>
      </c>
      <c r="T25" s="3">
        <f t="shared" ca="1" si="3"/>
        <v>0.61388888888888804</v>
      </c>
      <c r="U25" s="3">
        <f t="shared" ca="1" si="3"/>
        <v>0.61805555555555503</v>
      </c>
      <c r="V25" s="3">
        <f t="shared" ca="1" si="3"/>
        <v>0.62361111111111101</v>
      </c>
      <c r="W25" s="4">
        <f t="shared" ca="1" si="0"/>
        <v>5.4166666666666585E-2</v>
      </c>
    </row>
    <row r="26" spans="1:23" ht="15.75" customHeight="1" x14ac:dyDescent="0.15">
      <c r="A26" s="2" t="s">
        <v>232</v>
      </c>
      <c r="B26" s="3">
        <f ca="1">IFERROR(__xludf.DUMMYFUNCTION("SPLIT(A26,"" "")"),0.0833333333333333)</f>
        <v>8.3333333333333301E-2</v>
      </c>
      <c r="C26" s="3">
        <f ca="1">IFERROR(__xludf.DUMMYFUNCTION("""COMPUTED_VALUE"""),0.0875)</f>
        <v>8.7499999999999994E-2</v>
      </c>
      <c r="D26" s="3">
        <f ca="1">IFERROR(__xludf.DUMMYFUNCTION("""COMPUTED_VALUE"""),0.0930555555555555)</f>
        <v>9.3055555555555503E-2</v>
      </c>
      <c r="E26" s="3">
        <f ca="1">IFERROR(__xludf.DUMMYFUNCTION("""COMPUTED_VALUE"""),0.100694444444444)</f>
        <v>0.100694444444444</v>
      </c>
      <c r="F26" s="3">
        <f ca="1">IFERROR(__xludf.DUMMYFUNCTION("""COMPUTED_VALUE"""),0.108333333333333)</f>
        <v>0.108333333333333</v>
      </c>
      <c r="G26" s="3">
        <f ca="1">IFERROR(__xludf.DUMMYFUNCTION("""COMPUTED_VALUE"""),0.114583333333333)</f>
        <v>0.114583333333333</v>
      </c>
      <c r="H26" s="3">
        <f ca="1">IFERROR(__xludf.DUMMYFUNCTION("""COMPUTED_VALUE"""),0.122916666666666)</f>
        <v>0.12291666666666599</v>
      </c>
      <c r="I26" s="3">
        <f ca="1">IFERROR(__xludf.DUMMYFUNCTION("""COMPUTED_VALUE"""),0.127777777777777)</f>
        <v>0.12777777777777699</v>
      </c>
      <c r="J26" s="3">
        <f ca="1">IFERROR(__xludf.DUMMYFUNCTION("""COMPUTED_VALUE"""),0.131944444444444)</f>
        <v>0.131944444444444</v>
      </c>
      <c r="K26" s="3">
        <f ca="1">IFERROR(__xludf.DUMMYFUNCTION("""COMPUTED_VALUE"""),0.1375)</f>
        <v>0.13750000000000001</v>
      </c>
      <c r="M26" s="3">
        <f t="shared" ref="M26:V26" ca="1" si="4">B26+0.5</f>
        <v>0.58333333333333326</v>
      </c>
      <c r="N26" s="3">
        <f t="shared" ca="1" si="4"/>
        <v>0.58750000000000002</v>
      </c>
      <c r="O26" s="3">
        <f t="shared" ca="1" si="4"/>
        <v>0.59305555555555545</v>
      </c>
      <c r="P26" s="3">
        <f t="shared" ca="1" si="4"/>
        <v>0.60069444444444398</v>
      </c>
      <c r="Q26" s="3">
        <f t="shared" ca="1" si="4"/>
        <v>0.60833333333333295</v>
      </c>
      <c r="R26" s="3">
        <f t="shared" ca="1" si="4"/>
        <v>0.61458333333333304</v>
      </c>
      <c r="S26" s="3">
        <f t="shared" ca="1" si="4"/>
        <v>0.62291666666666601</v>
      </c>
      <c r="T26" s="3">
        <f t="shared" ca="1" si="4"/>
        <v>0.62777777777777699</v>
      </c>
      <c r="U26" s="3">
        <f t="shared" ca="1" si="4"/>
        <v>0.63194444444444398</v>
      </c>
      <c r="V26" s="3">
        <f t="shared" ca="1" si="4"/>
        <v>0.63749999999999996</v>
      </c>
      <c r="W26" s="4">
        <f t="shared" ca="1" si="0"/>
        <v>5.4166666666666696E-2</v>
      </c>
    </row>
    <row r="27" spans="1:23" ht="15.75" customHeight="1" x14ac:dyDescent="0.15">
      <c r="A27" s="2" t="s">
        <v>233</v>
      </c>
      <c r="B27" s="3">
        <f ca="1">IFERROR(__xludf.DUMMYFUNCTION("SPLIT(A27,"" "")"),0.0972222222222222)</f>
        <v>9.7222222222222196E-2</v>
      </c>
      <c r="C27" s="3">
        <f ca="1">IFERROR(__xludf.DUMMYFUNCTION("""COMPUTED_VALUE"""),0.101388888888888)</f>
        <v>0.101388888888888</v>
      </c>
      <c r="D27" s="3">
        <f ca="1">IFERROR(__xludf.DUMMYFUNCTION("""COMPUTED_VALUE"""),0.106944444444444)</f>
        <v>0.106944444444444</v>
      </c>
      <c r="E27" s="3">
        <f ca="1">IFERROR(__xludf.DUMMYFUNCTION("""COMPUTED_VALUE"""),0.114583333333333)</f>
        <v>0.114583333333333</v>
      </c>
      <c r="F27" s="3">
        <f ca="1">IFERROR(__xludf.DUMMYFUNCTION("""COMPUTED_VALUE"""),0.122222222222222)</f>
        <v>0.122222222222222</v>
      </c>
      <c r="G27" s="3">
        <f ca="1">IFERROR(__xludf.DUMMYFUNCTION("""COMPUTED_VALUE"""),0.128472222222222)</f>
        <v>0.12847222222222199</v>
      </c>
      <c r="H27" s="3">
        <f ca="1">IFERROR(__xludf.DUMMYFUNCTION("""COMPUTED_VALUE"""),0.136805555555555)</f>
        <v>0.13680555555555499</v>
      </c>
      <c r="I27" s="3">
        <f ca="1">IFERROR(__xludf.DUMMYFUNCTION("""COMPUTED_VALUE"""),0.141666666666666)</f>
        <v>0.141666666666666</v>
      </c>
      <c r="J27" s="3">
        <f ca="1">IFERROR(__xludf.DUMMYFUNCTION("""COMPUTED_VALUE"""),0.145833333333333)</f>
        <v>0.14583333333333301</v>
      </c>
      <c r="K27" s="3">
        <f ca="1">IFERROR(__xludf.DUMMYFUNCTION("""COMPUTED_VALUE"""),0.151388888888888)</f>
        <v>0.15138888888888799</v>
      </c>
      <c r="M27" s="3">
        <f t="shared" ref="M27:V27" ca="1" si="5">B27+0.5</f>
        <v>0.59722222222222221</v>
      </c>
      <c r="N27" s="3">
        <f t="shared" ca="1" si="5"/>
        <v>0.60138888888888797</v>
      </c>
      <c r="O27" s="3">
        <f t="shared" ca="1" si="5"/>
        <v>0.60694444444444395</v>
      </c>
      <c r="P27" s="3">
        <f t="shared" ca="1" si="5"/>
        <v>0.61458333333333304</v>
      </c>
      <c r="Q27" s="3">
        <f t="shared" ca="1" si="5"/>
        <v>0.62222222222222201</v>
      </c>
      <c r="R27" s="3">
        <f t="shared" ca="1" si="5"/>
        <v>0.62847222222222199</v>
      </c>
      <c r="S27" s="3">
        <f t="shared" ca="1" si="5"/>
        <v>0.63680555555555496</v>
      </c>
      <c r="T27" s="3">
        <f t="shared" ca="1" si="5"/>
        <v>0.64166666666666594</v>
      </c>
      <c r="U27" s="3">
        <f t="shared" ca="1" si="5"/>
        <v>0.64583333333333304</v>
      </c>
      <c r="V27" s="3">
        <f t="shared" ca="1" si="5"/>
        <v>0.65138888888888802</v>
      </c>
      <c r="W27" s="4">
        <f t="shared" ca="1" si="0"/>
        <v>5.4166666666665808E-2</v>
      </c>
    </row>
    <row r="28" spans="1:23" ht="15.75" customHeight="1" x14ac:dyDescent="0.15">
      <c r="A28" s="2" t="s">
        <v>234</v>
      </c>
      <c r="B28" s="3">
        <f ca="1">IFERROR(__xludf.DUMMYFUNCTION("SPLIT(A28,"" "")"),0.111111111111111)</f>
        <v>0.11111111111111099</v>
      </c>
      <c r="C28" s="3">
        <f ca="1">IFERROR(__xludf.DUMMYFUNCTION("""COMPUTED_VALUE"""),0.115277777777777)</f>
        <v>0.11527777777777699</v>
      </c>
      <c r="D28" s="3">
        <f ca="1">IFERROR(__xludf.DUMMYFUNCTION("""COMPUTED_VALUE"""),0.120833333333333)</f>
        <v>0.120833333333333</v>
      </c>
      <c r="E28" s="3">
        <f ca="1">IFERROR(__xludf.DUMMYFUNCTION("""COMPUTED_VALUE"""),0.128472222222222)</f>
        <v>0.12847222222222199</v>
      </c>
      <c r="F28" s="3">
        <f ca="1">IFERROR(__xludf.DUMMYFUNCTION("""COMPUTED_VALUE"""),0.136111111111111)</f>
        <v>0.13611111111111099</v>
      </c>
      <c r="G28" s="3">
        <f ca="1">IFERROR(__xludf.DUMMYFUNCTION("""COMPUTED_VALUE"""),0.142361111111111)</f>
        <v>0.14236111111111099</v>
      </c>
      <c r="H28" s="3">
        <f ca="1">IFERROR(__xludf.DUMMYFUNCTION("""COMPUTED_VALUE"""),0.150694444444444)</f>
        <v>0.15069444444444399</v>
      </c>
      <c r="I28" s="3">
        <f ca="1">IFERROR(__xludf.DUMMYFUNCTION("""COMPUTED_VALUE"""),0.155555555555555)</f>
        <v>0.155555555555555</v>
      </c>
      <c r="J28" s="3">
        <f ca="1">IFERROR(__xludf.DUMMYFUNCTION("""COMPUTED_VALUE"""),0.159722222222222)</f>
        <v>0.15972222222222199</v>
      </c>
      <c r="K28" s="3">
        <f ca="1">IFERROR(__xludf.DUMMYFUNCTION("""COMPUTED_VALUE"""),0.165277777777777)</f>
        <v>0.165277777777777</v>
      </c>
      <c r="M28" s="3">
        <f t="shared" ref="M28:V28" ca="1" si="6">B28+0.5</f>
        <v>0.61111111111111094</v>
      </c>
      <c r="N28" s="3">
        <f t="shared" ca="1" si="6"/>
        <v>0.61527777777777704</v>
      </c>
      <c r="O28" s="3">
        <f t="shared" ca="1" si="6"/>
        <v>0.62083333333333302</v>
      </c>
      <c r="P28" s="3">
        <f t="shared" ca="1" si="6"/>
        <v>0.62847222222222199</v>
      </c>
      <c r="Q28" s="3">
        <f t="shared" ca="1" si="6"/>
        <v>0.63611111111111096</v>
      </c>
      <c r="R28" s="3">
        <f t="shared" ca="1" si="6"/>
        <v>0.64236111111111094</v>
      </c>
      <c r="S28" s="3">
        <f t="shared" ca="1" si="6"/>
        <v>0.65069444444444402</v>
      </c>
      <c r="T28" s="3">
        <f t="shared" ca="1" si="6"/>
        <v>0.655555555555555</v>
      </c>
      <c r="U28" s="3">
        <f t="shared" ca="1" si="6"/>
        <v>0.65972222222222199</v>
      </c>
      <c r="V28" s="3">
        <f t="shared" ca="1" si="6"/>
        <v>0.66527777777777697</v>
      </c>
      <c r="W28" s="4">
        <f t="shared" ca="1" si="0"/>
        <v>5.416666666666603E-2</v>
      </c>
    </row>
    <row r="29" spans="1:23" ht="15.75" customHeight="1" x14ac:dyDescent="0.15">
      <c r="A29" s="2" t="s">
        <v>235</v>
      </c>
      <c r="B29" s="3">
        <f ca="1">IFERROR(__xludf.DUMMYFUNCTION("SPLIT(A29,"" "")"),0.125)</f>
        <v>0.125</v>
      </c>
      <c r="C29" s="3">
        <f ca="1">IFERROR(__xludf.DUMMYFUNCTION("""COMPUTED_VALUE"""),0.129166666666666)</f>
        <v>0.12916666666666601</v>
      </c>
      <c r="D29" s="3">
        <f ca="1">IFERROR(__xludf.DUMMYFUNCTION("""COMPUTED_VALUE"""),0.134722222222222)</f>
        <v>0.13472222222222199</v>
      </c>
      <c r="E29" s="3">
        <f ca="1">IFERROR(__xludf.DUMMYFUNCTION("""COMPUTED_VALUE"""),0.142361111111111)</f>
        <v>0.14236111111111099</v>
      </c>
      <c r="F29" s="3">
        <f ca="1">IFERROR(__xludf.DUMMYFUNCTION("""COMPUTED_VALUE"""),0.15)</f>
        <v>0.15</v>
      </c>
      <c r="G29" s="3">
        <f ca="1">IFERROR(__xludf.DUMMYFUNCTION("""COMPUTED_VALUE"""),0.15625)</f>
        <v>0.15625</v>
      </c>
      <c r="H29" s="3">
        <f ca="1">IFERROR(__xludf.DUMMYFUNCTION("""COMPUTED_VALUE"""),0.164583333333333)</f>
        <v>0.164583333333333</v>
      </c>
      <c r="I29" s="3">
        <f ca="1">IFERROR(__xludf.DUMMYFUNCTION("""COMPUTED_VALUE"""),0.169444444444444)</f>
        <v>0.16944444444444401</v>
      </c>
      <c r="J29" s="3">
        <f ca="1">IFERROR(__xludf.DUMMYFUNCTION("""COMPUTED_VALUE"""),0.173611111111111)</f>
        <v>0.17361111111111099</v>
      </c>
      <c r="K29" s="3">
        <f ca="1">IFERROR(__xludf.DUMMYFUNCTION("""COMPUTED_VALUE"""),0.179166666666666)</f>
        <v>0.179166666666666</v>
      </c>
      <c r="M29" s="3">
        <f t="shared" ref="M29:V29" ca="1" si="7">B29+0.5</f>
        <v>0.625</v>
      </c>
      <c r="N29" s="3">
        <f t="shared" ca="1" si="7"/>
        <v>0.62916666666666599</v>
      </c>
      <c r="O29" s="3">
        <f t="shared" ca="1" si="7"/>
        <v>0.63472222222222197</v>
      </c>
      <c r="P29" s="3">
        <f t="shared" ca="1" si="7"/>
        <v>0.64236111111111094</v>
      </c>
      <c r="Q29" s="3">
        <f t="shared" ca="1" si="7"/>
        <v>0.65</v>
      </c>
      <c r="R29" s="3">
        <f t="shared" ca="1" si="7"/>
        <v>0.65625</v>
      </c>
      <c r="S29" s="3">
        <f t="shared" ca="1" si="7"/>
        <v>0.66458333333333297</v>
      </c>
      <c r="T29" s="3">
        <f t="shared" ca="1" si="7"/>
        <v>0.66944444444444406</v>
      </c>
      <c r="U29" s="3">
        <f t="shared" ca="1" si="7"/>
        <v>0.67361111111111094</v>
      </c>
      <c r="V29" s="3">
        <f t="shared" ca="1" si="7"/>
        <v>0.67916666666666603</v>
      </c>
      <c r="W29" s="4">
        <f t="shared" ca="1" si="0"/>
        <v>5.416666666666603E-2</v>
      </c>
    </row>
    <row r="30" spans="1:23" ht="15.75" customHeight="1" x14ac:dyDescent="0.15">
      <c r="A30" s="2" t="s">
        <v>236</v>
      </c>
      <c r="B30" s="3">
        <f ca="1">IFERROR(__xludf.DUMMYFUNCTION("SPLIT(A30,"" "")"),0.138888888888888)</f>
        <v>0.13888888888888801</v>
      </c>
      <c r="C30" s="3">
        <f ca="1">IFERROR(__xludf.DUMMYFUNCTION("""COMPUTED_VALUE"""),0.143055555555555)</f>
        <v>0.14305555555555499</v>
      </c>
      <c r="D30" s="3">
        <f ca="1">IFERROR(__xludf.DUMMYFUNCTION("""COMPUTED_VALUE"""),0.148611111111111)</f>
        <v>0.148611111111111</v>
      </c>
      <c r="E30" s="3">
        <f ca="1">IFERROR(__xludf.DUMMYFUNCTION("""COMPUTED_VALUE"""),0.15625)</f>
        <v>0.15625</v>
      </c>
      <c r="F30" s="3">
        <f ca="1">IFERROR(__xludf.DUMMYFUNCTION("""COMPUTED_VALUE"""),0.163888888888888)</f>
        <v>0.163888888888888</v>
      </c>
      <c r="G30" s="3">
        <f ca="1">IFERROR(__xludf.DUMMYFUNCTION("""COMPUTED_VALUE"""),0.170138888888888)</f>
        <v>0.17013888888888801</v>
      </c>
      <c r="H30" s="3">
        <f ca="1">IFERROR(__xludf.DUMMYFUNCTION("""COMPUTED_VALUE"""),0.178472222222222)</f>
        <v>0.178472222222222</v>
      </c>
      <c r="I30" s="3">
        <f ca="1">IFERROR(__xludf.DUMMYFUNCTION("""COMPUTED_VALUE"""),0.183333333333333)</f>
        <v>0.18333333333333299</v>
      </c>
      <c r="J30" s="3">
        <f ca="1">IFERROR(__xludf.DUMMYFUNCTION("""COMPUTED_VALUE"""),0.1875)</f>
        <v>0.1875</v>
      </c>
      <c r="K30" s="3">
        <f ca="1">IFERROR(__xludf.DUMMYFUNCTION("""COMPUTED_VALUE"""),0.193055555555555)</f>
        <v>0.19305555555555501</v>
      </c>
      <c r="M30" s="3">
        <f t="shared" ref="M30:V30" ca="1" si="8">B30+0.5</f>
        <v>0.63888888888888795</v>
      </c>
      <c r="N30" s="3">
        <f t="shared" ca="1" si="8"/>
        <v>0.64305555555555505</v>
      </c>
      <c r="O30" s="3">
        <f t="shared" ca="1" si="8"/>
        <v>0.64861111111111103</v>
      </c>
      <c r="P30" s="3">
        <f t="shared" ca="1" si="8"/>
        <v>0.65625</v>
      </c>
      <c r="Q30" s="3">
        <f t="shared" ca="1" si="8"/>
        <v>0.66388888888888797</v>
      </c>
      <c r="R30" s="3">
        <f t="shared" ca="1" si="8"/>
        <v>0.67013888888888795</v>
      </c>
      <c r="S30" s="3">
        <f t="shared" ca="1" si="8"/>
        <v>0.67847222222222203</v>
      </c>
      <c r="T30" s="3">
        <f t="shared" ca="1" si="8"/>
        <v>0.68333333333333302</v>
      </c>
      <c r="U30" s="3">
        <f t="shared" ca="1" si="8"/>
        <v>0.6875</v>
      </c>
      <c r="V30" s="3">
        <f t="shared" ca="1" si="8"/>
        <v>0.69305555555555498</v>
      </c>
      <c r="W30" s="4">
        <f t="shared" ca="1" si="0"/>
        <v>5.4166666666667029E-2</v>
      </c>
    </row>
    <row r="31" spans="1:23" ht="15.75" customHeight="1" x14ac:dyDescent="0.15">
      <c r="A31" s="2" t="s">
        <v>237</v>
      </c>
      <c r="B31" s="3">
        <f ca="1">IFERROR(__xludf.DUMMYFUNCTION("SPLIT(A31,"" "")"),0.152777777777777)</f>
        <v>0.15277777777777701</v>
      </c>
      <c r="C31" s="3">
        <f ca="1">IFERROR(__xludf.DUMMYFUNCTION("""COMPUTED_VALUE"""),0.156944444444444)</f>
        <v>0.156944444444444</v>
      </c>
      <c r="D31" s="3">
        <f ca="1">IFERROR(__xludf.DUMMYFUNCTION("""COMPUTED_VALUE"""),0.1625)</f>
        <v>0.16250000000000001</v>
      </c>
      <c r="E31" s="3">
        <f ca="1">IFERROR(__xludf.DUMMYFUNCTION("""COMPUTED_VALUE"""),0.170138888888888)</f>
        <v>0.17013888888888801</v>
      </c>
      <c r="F31" s="3">
        <f ca="1">IFERROR(__xludf.DUMMYFUNCTION("""COMPUTED_VALUE"""),0.177777777777777)</f>
        <v>0.17777777777777701</v>
      </c>
      <c r="G31" s="3">
        <f ca="1">IFERROR(__xludf.DUMMYFUNCTION("""COMPUTED_VALUE"""),0.184027777777777)</f>
        <v>0.18402777777777701</v>
      </c>
      <c r="H31" s="3">
        <f ca="1">IFERROR(__xludf.DUMMYFUNCTION("""COMPUTED_VALUE"""),0.192361111111111)</f>
        <v>0.19236111111111101</v>
      </c>
      <c r="I31" s="3">
        <f ca="1">IFERROR(__xludf.DUMMYFUNCTION("""COMPUTED_VALUE"""),0.197222222222222)</f>
        <v>0.19722222222222199</v>
      </c>
      <c r="J31" s="3">
        <f ca="1">IFERROR(__xludf.DUMMYFUNCTION("""COMPUTED_VALUE"""),0.201388888888888)</f>
        <v>0.20138888888888801</v>
      </c>
      <c r="K31" s="3">
        <f ca="1">IFERROR(__xludf.DUMMYFUNCTION("""COMPUTED_VALUE"""),0.206944444444444)</f>
        <v>0.20694444444444399</v>
      </c>
      <c r="M31" s="3">
        <f t="shared" ref="M31:V31" ca="1" si="9">B31+0.5</f>
        <v>0.65277777777777701</v>
      </c>
      <c r="N31" s="3">
        <f t="shared" ca="1" si="9"/>
        <v>0.656944444444444</v>
      </c>
      <c r="O31" s="3">
        <f t="shared" ca="1" si="9"/>
        <v>0.66249999999999998</v>
      </c>
      <c r="P31" s="3">
        <f t="shared" ca="1" si="9"/>
        <v>0.67013888888888795</v>
      </c>
      <c r="Q31" s="3">
        <f t="shared" ca="1" si="9"/>
        <v>0.67777777777777704</v>
      </c>
      <c r="R31" s="3">
        <f t="shared" ca="1" si="9"/>
        <v>0.68402777777777701</v>
      </c>
      <c r="S31" s="3">
        <f t="shared" ca="1" si="9"/>
        <v>0.69236111111111098</v>
      </c>
      <c r="T31" s="3">
        <f t="shared" ca="1" si="9"/>
        <v>0.69722222222222197</v>
      </c>
      <c r="U31" s="3">
        <f t="shared" ca="1" si="9"/>
        <v>0.70138888888888795</v>
      </c>
      <c r="V31" s="3">
        <f t="shared" ca="1" si="9"/>
        <v>0.70694444444444393</v>
      </c>
      <c r="W31" s="4">
        <f t="shared" ca="1" si="0"/>
        <v>5.4166666666666918E-2</v>
      </c>
    </row>
    <row r="32" spans="1:23" ht="15.75" customHeight="1" x14ac:dyDescent="0.15">
      <c r="A32" s="2" t="s">
        <v>238</v>
      </c>
      <c r="B32" s="3">
        <f ca="1">IFERROR(__xludf.DUMMYFUNCTION("SPLIT(A32,"" "")"),0.166666666666666)</f>
        <v>0.16666666666666599</v>
      </c>
      <c r="C32" s="3">
        <f ca="1">IFERROR(__xludf.DUMMYFUNCTION("""COMPUTED_VALUE"""),0.170833333333333)</f>
        <v>0.170833333333333</v>
      </c>
      <c r="D32" s="3">
        <f ca="1">IFERROR(__xludf.DUMMYFUNCTION("""COMPUTED_VALUE"""),0.176388888888888)</f>
        <v>0.17638888888888801</v>
      </c>
      <c r="E32" s="3">
        <f ca="1">IFERROR(__xludf.DUMMYFUNCTION("""COMPUTED_VALUE"""),0.184027777777777)</f>
        <v>0.18402777777777701</v>
      </c>
      <c r="F32" s="3">
        <f ca="1">IFERROR(__xludf.DUMMYFUNCTION("""COMPUTED_VALUE"""),0.191666666666666)</f>
        <v>0.19166666666666601</v>
      </c>
      <c r="G32" s="3">
        <f ca="1">IFERROR(__xludf.DUMMYFUNCTION("""COMPUTED_VALUE"""),0.197916666666666)</f>
        <v>0.19791666666666599</v>
      </c>
      <c r="H32" s="3">
        <f ca="1">IFERROR(__xludf.DUMMYFUNCTION("""COMPUTED_VALUE"""),0.20625)</f>
        <v>0.20624999999999999</v>
      </c>
      <c r="I32" s="3">
        <f ca="1">IFERROR(__xludf.DUMMYFUNCTION("""COMPUTED_VALUE"""),0.211111111111111)</f>
        <v>0.211111111111111</v>
      </c>
      <c r="J32" s="3">
        <f ca="1">IFERROR(__xludf.DUMMYFUNCTION("""COMPUTED_VALUE"""),0.215277777777777)</f>
        <v>0.21527777777777701</v>
      </c>
      <c r="K32" s="3">
        <f ca="1">IFERROR(__xludf.DUMMYFUNCTION("""COMPUTED_VALUE"""),0.220833333333333)</f>
        <v>0.22083333333333299</v>
      </c>
      <c r="M32" s="3">
        <f t="shared" ref="M32:V32" ca="1" si="10">B32+0.5</f>
        <v>0.66666666666666596</v>
      </c>
      <c r="N32" s="3">
        <f t="shared" ca="1" si="10"/>
        <v>0.67083333333333295</v>
      </c>
      <c r="O32" s="3">
        <f t="shared" ca="1" si="10"/>
        <v>0.67638888888888804</v>
      </c>
      <c r="P32" s="3">
        <f t="shared" ca="1" si="10"/>
        <v>0.68402777777777701</v>
      </c>
      <c r="Q32" s="3">
        <f t="shared" ca="1" si="10"/>
        <v>0.69166666666666599</v>
      </c>
      <c r="R32" s="3">
        <f t="shared" ca="1" si="10"/>
        <v>0.69791666666666596</v>
      </c>
      <c r="S32" s="3">
        <f t="shared" ca="1" si="10"/>
        <v>0.70625000000000004</v>
      </c>
      <c r="T32" s="3">
        <f t="shared" ca="1" si="10"/>
        <v>0.71111111111111103</v>
      </c>
      <c r="U32" s="3">
        <f t="shared" ca="1" si="10"/>
        <v>0.71527777777777701</v>
      </c>
      <c r="V32" s="3">
        <f t="shared" ca="1" si="10"/>
        <v>0.72083333333333299</v>
      </c>
      <c r="W32" s="4">
        <f t="shared" ca="1" si="0"/>
        <v>5.4166666666667029E-2</v>
      </c>
    </row>
    <row r="33" spans="1:23" ht="15.75" customHeight="1" x14ac:dyDescent="0.15">
      <c r="A33" s="2" t="s">
        <v>239</v>
      </c>
      <c r="B33" s="3">
        <f ca="1">IFERROR(__xludf.DUMMYFUNCTION("SPLIT(A33,"" "")"),0.180555555555555)</f>
        <v>0.180555555555555</v>
      </c>
      <c r="C33" s="3">
        <f ca="1">IFERROR(__xludf.DUMMYFUNCTION("""COMPUTED_VALUE"""),0.184722222222222)</f>
        <v>0.18472222222222201</v>
      </c>
      <c r="D33" s="3">
        <f ca="1">IFERROR(__xludf.DUMMYFUNCTION("""COMPUTED_VALUE"""),0.190277777777777)</f>
        <v>0.19027777777777699</v>
      </c>
      <c r="E33" s="3">
        <f ca="1">IFERROR(__xludf.DUMMYFUNCTION("""COMPUTED_VALUE"""),0.197916666666666)</f>
        <v>0.19791666666666599</v>
      </c>
      <c r="F33" s="3">
        <f ca="1">IFERROR(__xludf.DUMMYFUNCTION("""COMPUTED_VALUE"""),0.205555555555555)</f>
        <v>0.20555555555555499</v>
      </c>
      <c r="G33" s="3">
        <f ca="1">IFERROR(__xludf.DUMMYFUNCTION("""COMPUTED_VALUE"""),0.211805555555555)</f>
        <v>0.211805555555555</v>
      </c>
      <c r="H33" s="3">
        <f ca="1">IFERROR(__xludf.DUMMYFUNCTION("""COMPUTED_VALUE"""),0.220138888888888)</f>
        <v>0.220138888888888</v>
      </c>
      <c r="I33" s="3">
        <f ca="1">IFERROR(__xludf.DUMMYFUNCTION("""COMPUTED_VALUE"""),0.225)</f>
        <v>0.22500000000000001</v>
      </c>
      <c r="J33" s="3">
        <f ca="1">IFERROR(__xludf.DUMMYFUNCTION("""COMPUTED_VALUE"""),0.229166666666666)</f>
        <v>0.22916666666666599</v>
      </c>
      <c r="K33" s="3">
        <f ca="1">IFERROR(__xludf.DUMMYFUNCTION("""COMPUTED_VALUE"""),0.234722222222222)</f>
        <v>0.234722222222222</v>
      </c>
      <c r="M33" s="3">
        <f t="shared" ref="M33:V33" ca="1" si="11">B33+0.5</f>
        <v>0.68055555555555503</v>
      </c>
      <c r="N33" s="3">
        <f t="shared" ca="1" si="11"/>
        <v>0.68472222222222201</v>
      </c>
      <c r="O33" s="3">
        <f t="shared" ca="1" si="11"/>
        <v>0.69027777777777699</v>
      </c>
      <c r="P33" s="3">
        <f t="shared" ca="1" si="11"/>
        <v>0.69791666666666596</v>
      </c>
      <c r="Q33" s="3">
        <f t="shared" ca="1" si="11"/>
        <v>0.70555555555555505</v>
      </c>
      <c r="R33" s="3">
        <f t="shared" ca="1" si="11"/>
        <v>0.71180555555555503</v>
      </c>
      <c r="S33" s="3">
        <f t="shared" ca="1" si="11"/>
        <v>0.720138888888888</v>
      </c>
      <c r="T33" s="3">
        <f t="shared" ca="1" si="11"/>
        <v>0.72499999999999998</v>
      </c>
      <c r="U33" s="3">
        <f t="shared" ca="1" si="11"/>
        <v>0.72916666666666596</v>
      </c>
      <c r="V33" s="3">
        <f t="shared" ca="1" si="11"/>
        <v>0.73472222222222205</v>
      </c>
      <c r="W33" s="4">
        <f t="shared" ca="1" si="0"/>
        <v>5.4166666666667029E-2</v>
      </c>
    </row>
    <row r="34" spans="1:23" ht="15.75" customHeight="1" x14ac:dyDescent="0.15">
      <c r="A34" s="2" t="s">
        <v>240</v>
      </c>
      <c r="B34" s="3">
        <f ca="1">IFERROR(__xludf.DUMMYFUNCTION("SPLIT(A34,"" "")"),0.194444444444444)</f>
        <v>0.194444444444444</v>
      </c>
      <c r="C34" s="3">
        <f ca="1">IFERROR(__xludf.DUMMYFUNCTION("""COMPUTED_VALUE"""),0.198611111111111)</f>
        <v>0.19861111111111099</v>
      </c>
      <c r="D34" s="3">
        <f ca="1">IFERROR(__xludf.DUMMYFUNCTION("""COMPUTED_VALUE"""),0.204166666666666)</f>
        <v>0.204166666666666</v>
      </c>
      <c r="E34" s="3">
        <f ca="1">IFERROR(__xludf.DUMMYFUNCTION("""COMPUTED_VALUE"""),0.211805555555555)</f>
        <v>0.211805555555555</v>
      </c>
      <c r="F34" s="3">
        <f ca="1">IFERROR(__xludf.DUMMYFUNCTION("""COMPUTED_VALUE"""),0.219444444444444)</f>
        <v>0.219444444444444</v>
      </c>
      <c r="G34" s="3">
        <f ca="1">IFERROR(__xludf.DUMMYFUNCTION("""COMPUTED_VALUE"""),0.225694444444444)</f>
        <v>0.225694444444444</v>
      </c>
      <c r="H34" s="3">
        <f ca="1">IFERROR(__xludf.DUMMYFUNCTION("""COMPUTED_VALUE"""),0.234027777777777)</f>
        <v>0.234027777777777</v>
      </c>
      <c r="I34" s="3">
        <f ca="1">IFERROR(__xludf.DUMMYFUNCTION("""COMPUTED_VALUE"""),0.238888888888888)</f>
        <v>0.23888888888888801</v>
      </c>
      <c r="J34" s="3">
        <f ca="1">IFERROR(__xludf.DUMMYFUNCTION("""COMPUTED_VALUE"""),0.243055555555555)</f>
        <v>0.243055555555555</v>
      </c>
      <c r="K34" s="3">
        <f ca="1">IFERROR(__xludf.DUMMYFUNCTION("""COMPUTED_VALUE"""),0.248611111111111)</f>
        <v>0.24861111111111101</v>
      </c>
      <c r="M34" s="3">
        <f t="shared" ref="M34:V34" ca="1" si="12">B34+0.5</f>
        <v>0.69444444444444398</v>
      </c>
      <c r="N34" s="3">
        <f t="shared" ca="1" si="12"/>
        <v>0.69861111111111096</v>
      </c>
      <c r="O34" s="3">
        <f t="shared" ca="1" si="12"/>
        <v>0.70416666666666594</v>
      </c>
      <c r="P34" s="3">
        <f t="shared" ca="1" si="12"/>
        <v>0.71180555555555503</v>
      </c>
      <c r="Q34" s="3">
        <f t="shared" ca="1" si="12"/>
        <v>0.719444444444444</v>
      </c>
      <c r="R34" s="3">
        <f t="shared" ca="1" si="12"/>
        <v>0.72569444444444398</v>
      </c>
      <c r="S34" s="3">
        <f t="shared" ca="1" si="12"/>
        <v>0.73402777777777706</v>
      </c>
      <c r="T34" s="3">
        <f t="shared" ca="1" si="12"/>
        <v>0.73888888888888804</v>
      </c>
      <c r="U34" s="3">
        <f t="shared" ca="1" si="12"/>
        <v>0.74305555555555503</v>
      </c>
      <c r="V34" s="3">
        <f t="shared" ca="1" si="12"/>
        <v>0.74861111111111101</v>
      </c>
      <c r="W34" s="4">
        <f t="shared" ca="1" si="0"/>
        <v>5.4166666666667029E-2</v>
      </c>
    </row>
    <row r="35" spans="1:23" ht="15.75" customHeight="1" x14ac:dyDescent="0.15">
      <c r="A35" s="2" t="s">
        <v>241</v>
      </c>
      <c r="B35" s="3">
        <f ca="1">IFERROR(__xludf.DUMMYFUNCTION("SPLIT(A35,"" "")"),0.208333333333333)</f>
        <v>0.20833333333333301</v>
      </c>
      <c r="C35" s="3">
        <f ca="1">IFERROR(__xludf.DUMMYFUNCTION("""COMPUTED_VALUE"""),0.2125)</f>
        <v>0.21249999999999999</v>
      </c>
      <c r="D35" s="3">
        <f ca="1">IFERROR(__xludf.DUMMYFUNCTION("""COMPUTED_VALUE"""),0.218055555555555)</f>
        <v>0.218055555555555</v>
      </c>
      <c r="E35" s="3">
        <f ca="1">IFERROR(__xludf.DUMMYFUNCTION("""COMPUTED_VALUE"""),0.225694444444444)</f>
        <v>0.225694444444444</v>
      </c>
      <c r="F35" s="3">
        <f ca="1">IFERROR(__xludf.DUMMYFUNCTION("""COMPUTED_VALUE"""),0.233333333333333)</f>
        <v>0.233333333333333</v>
      </c>
      <c r="G35" s="3">
        <f ca="1">IFERROR(__xludf.DUMMYFUNCTION("""COMPUTED_VALUE"""),0.239583333333333)</f>
        <v>0.23958333333333301</v>
      </c>
      <c r="H35" s="3">
        <f ca="1">IFERROR(__xludf.DUMMYFUNCTION("""COMPUTED_VALUE"""),0.247916666666666)</f>
        <v>0.24791666666666601</v>
      </c>
      <c r="I35" s="3">
        <f ca="1">IFERROR(__xludf.DUMMYFUNCTION("""COMPUTED_VALUE"""),0.252777777777777)</f>
        <v>0.25277777777777699</v>
      </c>
      <c r="J35" s="3">
        <f ca="1">IFERROR(__xludf.DUMMYFUNCTION("""COMPUTED_VALUE"""),0.256944444444444)</f>
        <v>0.25694444444444398</v>
      </c>
      <c r="K35" s="3">
        <f ca="1">IFERROR(__xludf.DUMMYFUNCTION("""COMPUTED_VALUE"""),0.2625)</f>
        <v>0.26250000000000001</v>
      </c>
      <c r="M35" s="3">
        <f t="shared" ref="M35:V35" ca="1" si="13">B35+0.5</f>
        <v>0.70833333333333304</v>
      </c>
      <c r="N35" s="3">
        <f t="shared" ca="1" si="13"/>
        <v>0.71250000000000002</v>
      </c>
      <c r="O35" s="3">
        <f t="shared" ca="1" si="13"/>
        <v>0.718055555555555</v>
      </c>
      <c r="P35" s="3">
        <f t="shared" ca="1" si="13"/>
        <v>0.72569444444444398</v>
      </c>
      <c r="Q35" s="3">
        <f t="shared" ca="1" si="13"/>
        <v>0.73333333333333295</v>
      </c>
      <c r="R35" s="3">
        <f t="shared" ca="1" si="13"/>
        <v>0.73958333333333304</v>
      </c>
      <c r="S35" s="3">
        <f t="shared" ca="1" si="13"/>
        <v>0.74791666666666601</v>
      </c>
      <c r="T35" s="3">
        <f t="shared" ca="1" si="13"/>
        <v>0.75277777777777699</v>
      </c>
      <c r="U35" s="3">
        <f t="shared" ca="1" si="13"/>
        <v>0.75694444444444398</v>
      </c>
      <c r="V35" s="3">
        <f t="shared" ca="1" si="13"/>
        <v>0.76249999999999996</v>
      </c>
      <c r="W35" s="4">
        <f t="shared" ca="1" si="0"/>
        <v>5.4166666666666918E-2</v>
      </c>
    </row>
    <row r="36" spans="1:23" ht="15.75" customHeight="1" x14ac:dyDescent="0.15">
      <c r="A36" s="2" t="s">
        <v>242</v>
      </c>
      <c r="B36" s="3">
        <f ca="1">IFERROR(__xludf.DUMMYFUNCTION("SPLIT(A36,"" "")"),0.222222222222222)</f>
        <v>0.22222222222222199</v>
      </c>
      <c r="C36" s="3">
        <f ca="1">IFERROR(__xludf.DUMMYFUNCTION("""COMPUTED_VALUE"""),0.226388888888888)</f>
        <v>0.226388888888888</v>
      </c>
      <c r="D36" s="3">
        <f ca="1">IFERROR(__xludf.DUMMYFUNCTION("""COMPUTED_VALUE"""),0.231944444444444)</f>
        <v>0.23194444444444401</v>
      </c>
      <c r="E36" s="3">
        <f ca="1">IFERROR(__xludf.DUMMYFUNCTION("""COMPUTED_VALUE"""),0.239583333333333)</f>
        <v>0.23958333333333301</v>
      </c>
      <c r="F36" s="3">
        <f ca="1">IFERROR(__xludf.DUMMYFUNCTION("""COMPUTED_VALUE"""),0.247222222222222)</f>
        <v>0.24722222222222201</v>
      </c>
      <c r="G36" s="3">
        <f ca="1">IFERROR(__xludf.DUMMYFUNCTION("""COMPUTED_VALUE"""),0.253472222222222)</f>
        <v>0.25347222222222199</v>
      </c>
      <c r="H36" s="3">
        <f ca="1">IFERROR(__xludf.DUMMYFUNCTION("""COMPUTED_VALUE"""),0.261805555555555)</f>
        <v>0.26180555555555501</v>
      </c>
      <c r="I36" s="3">
        <f ca="1">IFERROR(__xludf.DUMMYFUNCTION("""COMPUTED_VALUE"""),0.266666666666666)</f>
        <v>0.266666666666666</v>
      </c>
      <c r="J36" s="3">
        <f ca="1">IFERROR(__xludf.DUMMYFUNCTION("""COMPUTED_VALUE"""),0.270833333333333)</f>
        <v>0.27083333333333298</v>
      </c>
      <c r="K36" s="3">
        <f ca="1">IFERROR(__xludf.DUMMYFUNCTION("""COMPUTED_VALUE"""),0.276388888888888)</f>
        <v>0.27638888888888802</v>
      </c>
      <c r="M36" s="3">
        <f t="shared" ref="M36:V36" ca="1" si="14">B36+0.5</f>
        <v>0.72222222222222199</v>
      </c>
      <c r="N36" s="3">
        <f t="shared" ca="1" si="14"/>
        <v>0.72638888888888797</v>
      </c>
      <c r="O36" s="3">
        <f t="shared" ca="1" si="14"/>
        <v>0.73194444444444406</v>
      </c>
      <c r="P36" s="3">
        <f t="shared" ca="1" si="14"/>
        <v>0.73958333333333304</v>
      </c>
      <c r="Q36" s="3">
        <f t="shared" ca="1" si="14"/>
        <v>0.74722222222222201</v>
      </c>
      <c r="R36" s="3">
        <f t="shared" ca="1" si="14"/>
        <v>0.75347222222222199</v>
      </c>
      <c r="S36" s="3">
        <f t="shared" ca="1" si="14"/>
        <v>0.76180555555555496</v>
      </c>
      <c r="T36" s="3">
        <f t="shared" ca="1" si="14"/>
        <v>0.76666666666666594</v>
      </c>
      <c r="U36" s="3">
        <f t="shared" ca="1" si="14"/>
        <v>0.77083333333333304</v>
      </c>
      <c r="V36" s="3">
        <f t="shared" ca="1" si="14"/>
        <v>0.77638888888888802</v>
      </c>
      <c r="W36" s="4">
        <f t="shared" ca="1" si="0"/>
        <v>5.416666666666603E-2</v>
      </c>
    </row>
    <row r="37" spans="1:23" ht="15.75" customHeight="1" x14ac:dyDescent="0.15">
      <c r="A37" s="2" t="s">
        <v>243</v>
      </c>
      <c r="B37" s="3">
        <f ca="1">IFERROR(__xludf.DUMMYFUNCTION("SPLIT(A37,"" "")"),0.236111111111111)</f>
        <v>0.23611111111111099</v>
      </c>
      <c r="C37" s="3">
        <f ca="1">IFERROR(__xludf.DUMMYFUNCTION("""COMPUTED_VALUE"""),0.240277777777777)</f>
        <v>0.24027777777777701</v>
      </c>
      <c r="D37" s="3">
        <f ca="1">IFERROR(__xludf.DUMMYFUNCTION("""COMPUTED_VALUE"""),0.245833333333333)</f>
        <v>0.24583333333333299</v>
      </c>
      <c r="E37" s="3">
        <f ca="1">IFERROR(__xludf.DUMMYFUNCTION("""COMPUTED_VALUE"""),0.253472222222222)</f>
        <v>0.25347222222222199</v>
      </c>
      <c r="F37" s="3">
        <f ca="1">IFERROR(__xludf.DUMMYFUNCTION("""COMPUTED_VALUE"""),0.261111111111111)</f>
        <v>0.26111111111111102</v>
      </c>
      <c r="G37" s="3">
        <f ca="1">IFERROR(__xludf.DUMMYFUNCTION("""COMPUTED_VALUE"""),0.267361111111111)</f>
        <v>0.26736111111111099</v>
      </c>
      <c r="H37" s="3">
        <f ca="1">IFERROR(__xludf.DUMMYFUNCTION("""COMPUTED_VALUE"""),0.275694444444444)</f>
        <v>0.27569444444444402</v>
      </c>
      <c r="I37" s="3">
        <f ca="1">IFERROR(__xludf.DUMMYFUNCTION("""COMPUTED_VALUE"""),0.280555555555555)</f>
        <v>0.280555555555555</v>
      </c>
      <c r="J37" s="3">
        <f ca="1">IFERROR(__xludf.DUMMYFUNCTION("""COMPUTED_VALUE"""),0.284722222222222)</f>
        <v>0.28472222222222199</v>
      </c>
      <c r="K37" s="3">
        <f ca="1">IFERROR(__xludf.DUMMYFUNCTION("""COMPUTED_VALUE"""),0.290277777777777)</f>
        <v>0.29027777777777702</v>
      </c>
      <c r="M37" s="3">
        <f t="shared" ref="M37:V37" ca="1" si="15">B37+0.5</f>
        <v>0.73611111111111094</v>
      </c>
      <c r="N37" s="3">
        <f t="shared" ca="1" si="15"/>
        <v>0.74027777777777704</v>
      </c>
      <c r="O37" s="3">
        <f t="shared" ca="1" si="15"/>
        <v>0.74583333333333302</v>
      </c>
      <c r="P37" s="3">
        <f t="shared" ca="1" si="15"/>
        <v>0.75347222222222199</v>
      </c>
      <c r="Q37" s="3">
        <f t="shared" ca="1" si="15"/>
        <v>0.76111111111111107</v>
      </c>
      <c r="R37" s="3">
        <f t="shared" ca="1" si="15"/>
        <v>0.76736111111111094</v>
      </c>
      <c r="S37" s="3">
        <f t="shared" ca="1" si="15"/>
        <v>0.77569444444444402</v>
      </c>
      <c r="T37" s="3">
        <f t="shared" ca="1" si="15"/>
        <v>0.780555555555555</v>
      </c>
      <c r="U37" s="3">
        <f t="shared" ca="1" si="15"/>
        <v>0.78472222222222199</v>
      </c>
      <c r="V37" s="3">
        <f t="shared" ca="1" si="15"/>
        <v>0.79027777777777697</v>
      </c>
      <c r="W37" s="4">
        <f t="shared" ca="1" si="0"/>
        <v>5.416666666666603E-2</v>
      </c>
    </row>
    <row r="38" spans="1:23" ht="15.75" customHeight="1" x14ac:dyDescent="0.15">
      <c r="A38" s="2" t="s">
        <v>244</v>
      </c>
      <c r="B38" s="3">
        <f ca="1">IFERROR(__xludf.DUMMYFUNCTION("SPLIT(A38,"" "")"),0.25)</f>
        <v>0.25</v>
      </c>
      <c r="C38" s="3">
        <f ca="1">IFERROR(__xludf.DUMMYFUNCTION("""COMPUTED_VALUE"""),0.254166666666666)</f>
        <v>0.25416666666666599</v>
      </c>
      <c r="D38" s="3">
        <f ca="1">IFERROR(__xludf.DUMMYFUNCTION("""COMPUTED_VALUE"""),0.259722222222222)</f>
        <v>0.25972222222222202</v>
      </c>
      <c r="E38" s="3">
        <f ca="1">IFERROR(__xludf.DUMMYFUNCTION("""COMPUTED_VALUE"""),0.267361111111111)</f>
        <v>0.26736111111111099</v>
      </c>
      <c r="F38" s="3">
        <f ca="1">IFERROR(__xludf.DUMMYFUNCTION("""COMPUTED_VALUE"""),0.275)</f>
        <v>0.27500000000000002</v>
      </c>
      <c r="G38" s="3">
        <f ca="1">IFERROR(__xludf.DUMMYFUNCTION("""COMPUTED_VALUE"""),0.28125)</f>
        <v>0.28125</v>
      </c>
      <c r="H38" s="3">
        <f ca="1">IFERROR(__xludf.DUMMYFUNCTION("""COMPUTED_VALUE"""),0.289583333333333)</f>
        <v>0.28958333333333303</v>
      </c>
      <c r="I38" s="3">
        <f ca="1">IFERROR(__xludf.DUMMYFUNCTION("""COMPUTED_VALUE"""),0.294444444444444)</f>
        <v>0.29444444444444401</v>
      </c>
      <c r="J38" s="3">
        <f ca="1">IFERROR(__xludf.DUMMYFUNCTION("""COMPUTED_VALUE"""),0.298611111111111)</f>
        <v>0.29861111111111099</v>
      </c>
      <c r="K38" s="3">
        <f ca="1">IFERROR(__xludf.DUMMYFUNCTION("""COMPUTED_VALUE"""),0.304166666666666)</f>
        <v>0.30416666666666597</v>
      </c>
      <c r="M38" s="3">
        <f t="shared" ref="M38:V38" ca="1" si="16">B38+0.5</f>
        <v>0.75</v>
      </c>
      <c r="N38" s="3">
        <f t="shared" ca="1" si="16"/>
        <v>0.75416666666666599</v>
      </c>
      <c r="O38" s="3">
        <f t="shared" ca="1" si="16"/>
        <v>0.75972222222222197</v>
      </c>
      <c r="P38" s="3">
        <f t="shared" ca="1" si="16"/>
        <v>0.76736111111111094</v>
      </c>
      <c r="Q38" s="3">
        <f t="shared" ca="1" si="16"/>
        <v>0.77500000000000002</v>
      </c>
      <c r="R38" s="3">
        <f t="shared" ca="1" si="16"/>
        <v>0.78125</v>
      </c>
      <c r="S38" s="3">
        <f t="shared" ca="1" si="16"/>
        <v>0.78958333333333308</v>
      </c>
      <c r="T38" s="3">
        <f t="shared" ca="1" si="16"/>
        <v>0.79444444444444406</v>
      </c>
      <c r="U38" s="3">
        <f t="shared" ca="1" si="16"/>
        <v>0.79861111111111094</v>
      </c>
      <c r="V38" s="3">
        <f t="shared" ca="1" si="16"/>
        <v>0.80416666666666603</v>
      </c>
      <c r="W38" s="4">
        <f t="shared" ca="1" si="0"/>
        <v>5.416666666666603E-2</v>
      </c>
    </row>
    <row r="39" spans="1:23" ht="15.75" customHeight="1" x14ac:dyDescent="0.15">
      <c r="A39" s="2" t="s">
        <v>245</v>
      </c>
      <c r="B39" s="3">
        <f ca="1">IFERROR(__xludf.DUMMYFUNCTION("SPLIT(A39,"" "")"),0.263888888888888)</f>
        <v>0.26388888888888801</v>
      </c>
      <c r="C39" s="3">
        <f ca="1">IFERROR(__xludf.DUMMYFUNCTION("""COMPUTED_VALUE"""),0.267361111111111)</f>
        <v>0.26736111111111099</v>
      </c>
      <c r="D39" s="3">
        <f ca="1">IFERROR(__xludf.DUMMYFUNCTION("""COMPUTED_VALUE"""),0.272916666666666)</f>
        <v>0.27291666666666597</v>
      </c>
      <c r="E39" s="3">
        <f ca="1">IFERROR(__xludf.DUMMYFUNCTION("""COMPUTED_VALUE"""),0.280555555555555)</f>
        <v>0.280555555555555</v>
      </c>
      <c r="F39" s="3">
        <f ca="1">IFERROR(__xludf.DUMMYFUNCTION("""COMPUTED_VALUE"""),0.286805555555555)</f>
        <v>0.28680555555555498</v>
      </c>
      <c r="G39" s="3">
        <f ca="1">IFERROR(__xludf.DUMMYFUNCTION("""COMPUTED_VALUE"""),0.292361111111111)</f>
        <v>0.29236111111111102</v>
      </c>
      <c r="H39" s="3">
        <f ca="1">IFERROR(__xludf.DUMMYFUNCTION("""COMPUTED_VALUE"""),0.300694444444444)</f>
        <v>0.30069444444444399</v>
      </c>
      <c r="I39" s="3">
        <f ca="1">IFERROR(__xludf.DUMMYFUNCTION("""COMPUTED_VALUE"""),0.305555555555555)</f>
        <v>0.30555555555555503</v>
      </c>
      <c r="J39" s="3">
        <f ca="1">IFERROR(__xludf.DUMMYFUNCTION("""COMPUTED_VALUE"""),0.309722222222222)</f>
        <v>0.30972222222222201</v>
      </c>
      <c r="K39" s="3">
        <f ca="1">IFERROR(__xludf.DUMMYFUNCTION("""COMPUTED_VALUE"""),0.315277777777777)</f>
        <v>0.31527777777777699</v>
      </c>
      <c r="M39" s="3">
        <f t="shared" ref="M39:V39" ca="1" si="17">B39+0.5</f>
        <v>0.76388888888888795</v>
      </c>
      <c r="N39" s="3">
        <f t="shared" ca="1" si="17"/>
        <v>0.76736111111111094</v>
      </c>
      <c r="O39" s="3">
        <f t="shared" ca="1" si="17"/>
        <v>0.77291666666666603</v>
      </c>
      <c r="P39" s="3">
        <f t="shared" ca="1" si="17"/>
        <v>0.780555555555555</v>
      </c>
      <c r="Q39" s="3">
        <f t="shared" ca="1" si="17"/>
        <v>0.78680555555555498</v>
      </c>
      <c r="R39" s="3">
        <f t="shared" ca="1" si="17"/>
        <v>0.79236111111111107</v>
      </c>
      <c r="S39" s="3">
        <f t="shared" ca="1" si="17"/>
        <v>0.80069444444444393</v>
      </c>
      <c r="T39" s="3">
        <f t="shared" ca="1" si="17"/>
        <v>0.80555555555555503</v>
      </c>
      <c r="U39" s="3">
        <f t="shared" ca="1" si="17"/>
        <v>0.80972222222222201</v>
      </c>
      <c r="V39" s="3">
        <f t="shared" ca="1" si="17"/>
        <v>0.81527777777777699</v>
      </c>
      <c r="W39" s="4">
        <f t="shared" ca="1" si="0"/>
        <v>5.1388888888889039E-2</v>
      </c>
    </row>
    <row r="40" spans="1:23" ht="15.75" customHeight="1" x14ac:dyDescent="0.15">
      <c r="A40" s="2" t="s">
        <v>246</v>
      </c>
      <c r="B40" s="3">
        <f ca="1">IFERROR(__xludf.DUMMYFUNCTION("SPLIT(A40,"" "")"),0.277777777777777)</f>
        <v>0.27777777777777701</v>
      </c>
      <c r="C40" s="3">
        <f ca="1">IFERROR(__xludf.DUMMYFUNCTION("""COMPUTED_VALUE"""),0.28125)</f>
        <v>0.28125</v>
      </c>
      <c r="D40" s="3">
        <f ca="1">IFERROR(__xludf.DUMMYFUNCTION("""COMPUTED_VALUE"""),0.286805555555555)</f>
        <v>0.28680555555555498</v>
      </c>
      <c r="E40" s="3">
        <f ca="1">IFERROR(__xludf.DUMMYFUNCTION("""COMPUTED_VALUE"""),0.294444444444444)</f>
        <v>0.29444444444444401</v>
      </c>
      <c r="F40" s="3">
        <f ca="1">IFERROR(__xludf.DUMMYFUNCTION("""COMPUTED_VALUE"""),0.300694444444444)</f>
        <v>0.30069444444444399</v>
      </c>
      <c r="G40" s="3">
        <f ca="1">IFERROR(__xludf.DUMMYFUNCTION("""COMPUTED_VALUE"""),0.30625)</f>
        <v>0.30625000000000002</v>
      </c>
      <c r="H40" s="3">
        <f ca="1">IFERROR(__xludf.DUMMYFUNCTION("""COMPUTED_VALUE"""),0.314583333333333)</f>
        <v>0.31458333333333299</v>
      </c>
      <c r="I40" s="3">
        <f ca="1">IFERROR(__xludf.DUMMYFUNCTION("""COMPUTED_VALUE"""),0.319444444444444)</f>
        <v>0.31944444444444398</v>
      </c>
      <c r="J40" s="3">
        <f ca="1">IFERROR(__xludf.DUMMYFUNCTION("""COMPUTED_VALUE"""),0.323611111111111)</f>
        <v>0.32361111111111102</v>
      </c>
      <c r="K40" s="3">
        <f ca="1">IFERROR(__xludf.DUMMYFUNCTION("""COMPUTED_VALUE"""),0.329166666666666)</f>
        <v>0.329166666666666</v>
      </c>
      <c r="M40" s="3">
        <f t="shared" ref="M40:V40" ca="1" si="18">B40+0.5</f>
        <v>0.77777777777777701</v>
      </c>
      <c r="N40" s="3">
        <f t="shared" ca="1" si="18"/>
        <v>0.78125</v>
      </c>
      <c r="O40" s="3">
        <f t="shared" ca="1" si="18"/>
        <v>0.78680555555555498</v>
      </c>
      <c r="P40" s="3">
        <f t="shared" ca="1" si="18"/>
        <v>0.79444444444444406</v>
      </c>
      <c r="Q40" s="3">
        <f t="shared" ca="1" si="18"/>
        <v>0.80069444444444393</v>
      </c>
      <c r="R40" s="3">
        <f t="shared" ca="1" si="18"/>
        <v>0.80625000000000002</v>
      </c>
      <c r="S40" s="3">
        <f t="shared" ca="1" si="18"/>
        <v>0.81458333333333299</v>
      </c>
      <c r="T40" s="3">
        <f t="shared" ca="1" si="18"/>
        <v>0.81944444444444398</v>
      </c>
      <c r="U40" s="3">
        <f t="shared" ca="1" si="18"/>
        <v>0.82361111111111107</v>
      </c>
      <c r="V40" s="3">
        <f t="shared" ca="1" si="18"/>
        <v>0.82916666666666594</v>
      </c>
      <c r="W40" s="4">
        <f t="shared" ca="1" si="0"/>
        <v>5.1388888888888928E-2</v>
      </c>
    </row>
    <row r="41" spans="1:23" ht="15.75" customHeight="1" x14ac:dyDescent="0.15">
      <c r="A41" s="2" t="s">
        <v>247</v>
      </c>
      <c r="B41" s="3">
        <f ca="1">IFERROR(__xludf.DUMMYFUNCTION("SPLIT(A41,"" "")"),0.291666666666666)</f>
        <v>0.29166666666666602</v>
      </c>
      <c r="C41" s="3">
        <f ca="1">IFERROR(__xludf.DUMMYFUNCTION("""COMPUTED_VALUE"""),0.295138888888888)</f>
        <v>0.29513888888888801</v>
      </c>
      <c r="D41" s="3">
        <f ca="1">IFERROR(__xludf.DUMMYFUNCTION("""COMPUTED_VALUE"""),0.300694444444444)</f>
        <v>0.30069444444444399</v>
      </c>
      <c r="E41" s="3">
        <f ca="1">IFERROR(__xludf.DUMMYFUNCTION("""COMPUTED_VALUE"""),0.308333333333333)</f>
        <v>0.30833333333333302</v>
      </c>
      <c r="F41" s="3">
        <f ca="1">IFERROR(__xludf.DUMMYFUNCTION("""COMPUTED_VALUE"""),0.314583333333333)</f>
        <v>0.31458333333333299</v>
      </c>
      <c r="G41" s="3">
        <f ca="1">IFERROR(__xludf.DUMMYFUNCTION("""COMPUTED_VALUE"""),0.320138888888888)</f>
        <v>0.32013888888888797</v>
      </c>
      <c r="H41" s="3">
        <f ca="1">IFERROR(__xludf.DUMMYFUNCTION("""COMPUTED_VALUE"""),0.328472222222222)</f>
        <v>0.328472222222222</v>
      </c>
      <c r="I41" s="3">
        <f ca="1">IFERROR(__xludf.DUMMYFUNCTION("""COMPUTED_VALUE"""),0.333333333333333)</f>
        <v>0.33333333333333298</v>
      </c>
      <c r="J41" s="3">
        <f ca="1">IFERROR(__xludf.DUMMYFUNCTION("""COMPUTED_VALUE"""),0.3375)</f>
        <v>0.33750000000000002</v>
      </c>
      <c r="K41" s="3">
        <f ca="1">IFERROR(__xludf.DUMMYFUNCTION("""COMPUTED_VALUE"""),0.343055555555555)</f>
        <v>0.343055555555555</v>
      </c>
      <c r="M41" s="3">
        <f t="shared" ref="M41:V41" ca="1" si="19">B41+0.5</f>
        <v>0.79166666666666607</v>
      </c>
      <c r="N41" s="3">
        <f t="shared" ca="1" si="19"/>
        <v>0.79513888888888795</v>
      </c>
      <c r="O41" s="3">
        <f t="shared" ca="1" si="19"/>
        <v>0.80069444444444393</v>
      </c>
      <c r="P41" s="3">
        <f t="shared" ca="1" si="19"/>
        <v>0.80833333333333302</v>
      </c>
      <c r="Q41" s="3">
        <f t="shared" ca="1" si="19"/>
        <v>0.81458333333333299</v>
      </c>
      <c r="R41" s="3">
        <f t="shared" ca="1" si="19"/>
        <v>0.82013888888888797</v>
      </c>
      <c r="S41" s="3">
        <f t="shared" ca="1" si="19"/>
        <v>0.82847222222222205</v>
      </c>
      <c r="T41" s="3">
        <f t="shared" ca="1" si="19"/>
        <v>0.83333333333333304</v>
      </c>
      <c r="U41" s="3">
        <f t="shared" ca="1" si="19"/>
        <v>0.83750000000000002</v>
      </c>
      <c r="V41" s="3">
        <f t="shared" ca="1" si="19"/>
        <v>0.843055555555555</v>
      </c>
      <c r="W41" s="4">
        <f t="shared" ca="1" si="0"/>
        <v>5.1388888888888928E-2</v>
      </c>
    </row>
    <row r="42" spans="1:23" ht="15.75" customHeight="1" x14ac:dyDescent="0.15">
      <c r="A42" s="2" t="s">
        <v>248</v>
      </c>
      <c r="B42" s="3">
        <f ca="1">IFERROR(__xludf.DUMMYFUNCTION("SPLIT(A42,"" "")"),0.305555555555555)</f>
        <v>0.30555555555555503</v>
      </c>
      <c r="C42" s="3">
        <f ca="1">IFERROR(__xludf.DUMMYFUNCTION("""COMPUTED_VALUE"""),0.309027777777777)</f>
        <v>0.30902777777777701</v>
      </c>
      <c r="D42" s="3">
        <f ca="1">IFERROR(__xludf.DUMMYFUNCTION("""COMPUTED_VALUE"""),0.314583333333333)</f>
        <v>0.31458333333333299</v>
      </c>
      <c r="E42" s="3">
        <f ca="1">IFERROR(__xludf.DUMMYFUNCTION("""COMPUTED_VALUE"""),0.322222222222222)</f>
        <v>0.32222222222222202</v>
      </c>
      <c r="F42" s="3">
        <f ca="1">IFERROR(__xludf.DUMMYFUNCTION("""COMPUTED_VALUE"""),0.328472222222222)</f>
        <v>0.328472222222222</v>
      </c>
      <c r="G42" s="3">
        <f ca="1">IFERROR(__xludf.DUMMYFUNCTION("""COMPUTED_VALUE"""),0.334027777777777)</f>
        <v>0.33402777777777698</v>
      </c>
      <c r="H42" s="3">
        <f ca="1">IFERROR(__xludf.DUMMYFUNCTION("""COMPUTED_VALUE"""),0.342361111111111)</f>
        <v>0.34236111111111101</v>
      </c>
      <c r="I42" s="3">
        <f ca="1">IFERROR(__xludf.DUMMYFUNCTION("""COMPUTED_VALUE"""),0.347222222222222)</f>
        <v>0.34722222222222199</v>
      </c>
      <c r="J42" s="3">
        <f ca="1">IFERROR(__xludf.DUMMYFUNCTION("""COMPUTED_VALUE"""),0.351388888888888)</f>
        <v>0.35138888888888797</v>
      </c>
      <c r="K42" s="3">
        <f ca="1">IFERROR(__xludf.DUMMYFUNCTION("""COMPUTED_VALUE"""),0.356944444444444)</f>
        <v>0.35694444444444401</v>
      </c>
      <c r="M42" s="3">
        <f t="shared" ref="M42:V42" ca="1" si="20">B42+0.5</f>
        <v>0.80555555555555503</v>
      </c>
      <c r="N42" s="3">
        <f t="shared" ca="1" si="20"/>
        <v>0.80902777777777701</v>
      </c>
      <c r="O42" s="3">
        <f t="shared" ca="1" si="20"/>
        <v>0.81458333333333299</v>
      </c>
      <c r="P42" s="3">
        <f t="shared" ca="1" si="20"/>
        <v>0.82222222222222197</v>
      </c>
      <c r="Q42" s="3">
        <f t="shared" ca="1" si="20"/>
        <v>0.82847222222222205</v>
      </c>
      <c r="R42" s="3">
        <f t="shared" ca="1" si="20"/>
        <v>0.83402777777777692</v>
      </c>
      <c r="S42" s="3">
        <f t="shared" ca="1" si="20"/>
        <v>0.84236111111111101</v>
      </c>
      <c r="T42" s="3">
        <f t="shared" ca="1" si="20"/>
        <v>0.84722222222222199</v>
      </c>
      <c r="U42" s="3">
        <f t="shared" ca="1" si="20"/>
        <v>0.85138888888888797</v>
      </c>
      <c r="V42" s="3">
        <f t="shared" ca="1" si="20"/>
        <v>0.85694444444444406</v>
      </c>
      <c r="W42" s="4">
        <f t="shared" ca="1" si="0"/>
        <v>5.1388888888889039E-2</v>
      </c>
    </row>
    <row r="43" spans="1:23" ht="15.75" customHeight="1" x14ac:dyDescent="0.15">
      <c r="A43" s="2" t="s">
        <v>249</v>
      </c>
      <c r="B43" s="3">
        <f ca="1">IFERROR(__xludf.DUMMYFUNCTION("SPLIT(A43,"" "")"),0.319444444444444)</f>
        <v>0.31944444444444398</v>
      </c>
      <c r="C43" s="3">
        <f ca="1">IFERROR(__xludf.DUMMYFUNCTION("""COMPUTED_VALUE"""),0.322916666666666)</f>
        <v>0.32291666666666602</v>
      </c>
      <c r="D43" s="3">
        <f ca="1">IFERROR(__xludf.DUMMYFUNCTION("""COMPUTED_VALUE"""),0.328472222222222)</f>
        <v>0.328472222222222</v>
      </c>
      <c r="E43" s="3">
        <f ca="1">IFERROR(__xludf.DUMMYFUNCTION("""COMPUTED_VALUE"""),0.335416666666666)</f>
        <v>0.33541666666666597</v>
      </c>
      <c r="F43" s="3">
        <f ca="1">IFERROR(__xludf.DUMMYFUNCTION("""COMPUTED_VALUE"""),0.341666666666666)</f>
        <v>0.34166666666666601</v>
      </c>
      <c r="G43" s="3">
        <f ca="1">IFERROR(__xludf.DUMMYFUNCTION("""COMPUTED_VALUE"""),0.347222222222222)</f>
        <v>0.34722222222222199</v>
      </c>
      <c r="H43" s="3">
        <f ca="1">IFERROR(__xludf.DUMMYFUNCTION("""COMPUTED_VALUE"""),0.355555555555555)</f>
        <v>0.35555555555555501</v>
      </c>
      <c r="I43" s="3">
        <f ca="1">IFERROR(__xludf.DUMMYFUNCTION("""COMPUTED_VALUE"""),0.360416666666666)</f>
        <v>0.360416666666666</v>
      </c>
      <c r="J43" s="3">
        <f ca="1">IFERROR(__xludf.DUMMYFUNCTION("""COMPUTED_VALUE"""),0.364583333333333)</f>
        <v>0.36458333333333298</v>
      </c>
      <c r="K43" s="3">
        <f ca="1">IFERROR(__xludf.DUMMYFUNCTION("""COMPUTED_VALUE"""),0.370138888888888)</f>
        <v>0.37013888888888802</v>
      </c>
      <c r="M43" s="3">
        <f t="shared" ref="M43:V43" ca="1" si="21">B43+0.5</f>
        <v>0.81944444444444398</v>
      </c>
      <c r="N43" s="3">
        <f t="shared" ca="1" si="21"/>
        <v>0.82291666666666607</v>
      </c>
      <c r="O43" s="3">
        <f t="shared" ca="1" si="21"/>
        <v>0.82847222222222205</v>
      </c>
      <c r="P43" s="3">
        <f t="shared" ca="1" si="21"/>
        <v>0.83541666666666603</v>
      </c>
      <c r="Q43" s="3">
        <f t="shared" ca="1" si="21"/>
        <v>0.84166666666666601</v>
      </c>
      <c r="R43" s="3">
        <f t="shared" ca="1" si="21"/>
        <v>0.84722222222222199</v>
      </c>
      <c r="S43" s="3">
        <f t="shared" ca="1" si="21"/>
        <v>0.85555555555555496</v>
      </c>
      <c r="T43" s="3">
        <f t="shared" ca="1" si="21"/>
        <v>0.86041666666666594</v>
      </c>
      <c r="U43" s="3">
        <f t="shared" ca="1" si="21"/>
        <v>0.86458333333333304</v>
      </c>
      <c r="V43" s="3">
        <f t="shared" ca="1" si="21"/>
        <v>0.87013888888888802</v>
      </c>
      <c r="W43" s="4">
        <f t="shared" ca="1" si="0"/>
        <v>5.0694444444444042E-2</v>
      </c>
    </row>
    <row r="44" spans="1:23" ht="15.75" customHeight="1" x14ac:dyDescent="0.15">
      <c r="A44" s="2" t="s">
        <v>250</v>
      </c>
      <c r="B44" s="3">
        <f ca="1">IFERROR(__xludf.DUMMYFUNCTION("SPLIT(A44,"" "")"),0.333333333333333)</f>
        <v>0.33333333333333298</v>
      </c>
      <c r="C44" s="3">
        <f ca="1">IFERROR(__xludf.DUMMYFUNCTION("""COMPUTED_VALUE"""),0.336805555555555)</f>
        <v>0.33680555555555503</v>
      </c>
      <c r="D44" s="3">
        <f ca="1">IFERROR(__xludf.DUMMYFUNCTION("""COMPUTED_VALUE"""),0.339583333333333)</f>
        <v>0.33958333333333302</v>
      </c>
      <c r="E44" s="3">
        <f ca="1">IFERROR(__xludf.DUMMYFUNCTION("""COMPUTED_VALUE"""),0.345138888888888)</f>
        <v>0.345138888888888</v>
      </c>
      <c r="F44" s="3">
        <f ca="1">IFERROR(__xludf.DUMMYFUNCTION("""COMPUTED_VALUE"""),0.35)</f>
        <v>0.35</v>
      </c>
      <c r="G44" s="3">
        <f ca="1">IFERROR(__xludf.DUMMYFUNCTION("""COMPUTED_VALUE"""),0.354861111111111)</f>
        <v>0.35486111111111102</v>
      </c>
      <c r="H44" s="3">
        <f ca="1">IFERROR(__xludf.DUMMYFUNCTION("""COMPUTED_VALUE"""),0.361111111111111)</f>
        <v>0.36111111111111099</v>
      </c>
      <c r="I44" s="3">
        <f ca="1">IFERROR(__xludf.DUMMYFUNCTION("""COMPUTED_VALUE"""),0.364583333333333)</f>
        <v>0.36458333333333298</v>
      </c>
      <c r="J44" s="3">
        <f ca="1">IFERROR(__xludf.DUMMYFUNCTION("""COMPUTED_VALUE"""),0.36875)</f>
        <v>0.36875000000000002</v>
      </c>
      <c r="K44" s="3">
        <f ca="1">IFERROR(__xludf.DUMMYFUNCTION("""COMPUTED_VALUE"""),0.373611111111111)</f>
        <v>0.37361111111111101</v>
      </c>
      <c r="M44" s="3">
        <f t="shared" ref="M44:V44" ca="1" si="22">B44+0.5</f>
        <v>0.83333333333333304</v>
      </c>
      <c r="N44" s="3">
        <f t="shared" ca="1" si="22"/>
        <v>0.83680555555555503</v>
      </c>
      <c r="O44" s="3">
        <f t="shared" ca="1" si="22"/>
        <v>0.83958333333333302</v>
      </c>
      <c r="P44" s="3">
        <f t="shared" ca="1" si="22"/>
        <v>0.845138888888888</v>
      </c>
      <c r="Q44" s="3">
        <f t="shared" ca="1" si="22"/>
        <v>0.85</v>
      </c>
      <c r="R44" s="3">
        <f t="shared" ca="1" si="22"/>
        <v>0.85486111111111107</v>
      </c>
      <c r="S44" s="3">
        <f t="shared" ca="1" si="22"/>
        <v>0.86111111111111094</v>
      </c>
      <c r="T44" s="3">
        <f t="shared" ca="1" si="22"/>
        <v>0.86458333333333304</v>
      </c>
      <c r="U44" s="3">
        <f t="shared" ca="1" si="22"/>
        <v>0.86875000000000002</v>
      </c>
      <c r="V44" s="3">
        <f t="shared" ca="1" si="22"/>
        <v>0.87361111111111101</v>
      </c>
      <c r="W44" s="4">
        <f t="shared" ca="1" si="0"/>
        <v>4.0277777777777968E-2</v>
      </c>
    </row>
    <row r="45" spans="1:23" ht="15.75" customHeight="1" x14ac:dyDescent="0.15">
      <c r="A45" s="2" t="s">
        <v>251</v>
      </c>
      <c r="B45" s="3">
        <f ca="1">IFERROR(__xludf.DUMMYFUNCTION("SPLIT(A45,"" "")"),0.347222222222222)</f>
        <v>0.34722222222222199</v>
      </c>
      <c r="C45" s="3">
        <f ca="1">IFERROR(__xludf.DUMMYFUNCTION("""COMPUTED_VALUE"""),0.350694444444444)</f>
        <v>0.35069444444444398</v>
      </c>
      <c r="D45" s="3">
        <f ca="1">IFERROR(__xludf.DUMMYFUNCTION("""COMPUTED_VALUE"""),0.353472222222222)</f>
        <v>0.35347222222222202</v>
      </c>
      <c r="E45" s="3">
        <f ca="1">IFERROR(__xludf.DUMMYFUNCTION("""COMPUTED_VALUE"""),0.359027777777777)</f>
        <v>0.359027777777777</v>
      </c>
      <c r="F45" s="3">
        <f ca="1">IFERROR(__xludf.DUMMYFUNCTION("""COMPUTED_VALUE"""),0.363888888888888)</f>
        <v>0.36388888888888798</v>
      </c>
      <c r="G45" s="3">
        <f ca="1">IFERROR(__xludf.DUMMYFUNCTION("""COMPUTED_VALUE"""),0.36875)</f>
        <v>0.36875000000000002</v>
      </c>
      <c r="H45" s="3">
        <f ca="1">IFERROR(__xludf.DUMMYFUNCTION("""COMPUTED_VALUE"""),0.375)</f>
        <v>0.375</v>
      </c>
      <c r="I45" s="3">
        <f ca="1">IFERROR(__xludf.DUMMYFUNCTION("""COMPUTED_VALUE"""),0.378472222222222)</f>
        <v>0.37847222222222199</v>
      </c>
      <c r="J45" s="3">
        <f ca="1">IFERROR(__xludf.DUMMYFUNCTION("""COMPUTED_VALUE"""),0.382638888888888)</f>
        <v>0.38263888888888797</v>
      </c>
      <c r="K45" s="3">
        <f ca="1">IFERROR(__xludf.DUMMYFUNCTION("""COMPUTED_VALUE"""),0.3875)</f>
        <v>0.38750000000000001</v>
      </c>
      <c r="M45" s="3">
        <f t="shared" ref="M45:V45" ca="1" si="23">B45+0.5</f>
        <v>0.84722222222222199</v>
      </c>
      <c r="N45" s="3">
        <f t="shared" ca="1" si="23"/>
        <v>0.85069444444444398</v>
      </c>
      <c r="O45" s="3">
        <f t="shared" ca="1" si="23"/>
        <v>0.85347222222222197</v>
      </c>
      <c r="P45" s="3">
        <f t="shared" ca="1" si="23"/>
        <v>0.85902777777777706</v>
      </c>
      <c r="Q45" s="3">
        <f t="shared" ca="1" si="23"/>
        <v>0.86388888888888804</v>
      </c>
      <c r="R45" s="3">
        <f t="shared" ca="1" si="23"/>
        <v>0.86875000000000002</v>
      </c>
      <c r="S45" s="3">
        <f t="shared" ca="1" si="23"/>
        <v>0.875</v>
      </c>
      <c r="T45" s="3">
        <f t="shared" ca="1" si="23"/>
        <v>0.87847222222222199</v>
      </c>
      <c r="U45" s="3">
        <f t="shared" ca="1" si="23"/>
        <v>0.88263888888888797</v>
      </c>
      <c r="V45" s="3">
        <f t="shared" ca="1" si="23"/>
        <v>0.88749999999999996</v>
      </c>
      <c r="W45" s="4">
        <f t="shared" ca="1" si="0"/>
        <v>4.0277777777777968E-2</v>
      </c>
    </row>
    <row r="46" spans="1:23" ht="15.75" customHeight="1" x14ac:dyDescent="0.15">
      <c r="A46" s="2" t="s">
        <v>252</v>
      </c>
      <c r="B46" s="3">
        <f ca="1">IFERROR(__xludf.DUMMYFUNCTION("SPLIT(A46,"" "")"),0.361111111111111)</f>
        <v>0.36111111111111099</v>
      </c>
      <c r="C46" s="3">
        <f ca="1">IFERROR(__xludf.DUMMYFUNCTION("""COMPUTED_VALUE"""),0.364583333333333)</f>
        <v>0.36458333333333298</v>
      </c>
      <c r="D46" s="3">
        <f ca="1">IFERROR(__xludf.DUMMYFUNCTION("""COMPUTED_VALUE"""),0.367361111111111)</f>
        <v>0.36736111111111103</v>
      </c>
      <c r="E46" s="3">
        <f ca="1">IFERROR(__xludf.DUMMYFUNCTION("""COMPUTED_VALUE"""),0.372916666666666)</f>
        <v>0.37291666666666601</v>
      </c>
      <c r="F46" s="3">
        <f ca="1">IFERROR(__xludf.DUMMYFUNCTION("""COMPUTED_VALUE"""),0.377777777777777)</f>
        <v>0.37777777777777699</v>
      </c>
      <c r="G46" s="3">
        <f ca="1">IFERROR(__xludf.DUMMYFUNCTION("""COMPUTED_VALUE"""),0.382638888888888)</f>
        <v>0.38263888888888797</v>
      </c>
      <c r="H46" s="3">
        <f ca="1">IFERROR(__xludf.DUMMYFUNCTION("""COMPUTED_VALUE"""),0.388888888888888)</f>
        <v>0.38888888888888801</v>
      </c>
      <c r="I46" s="3">
        <f ca="1">IFERROR(__xludf.DUMMYFUNCTION("""COMPUTED_VALUE"""),0.392361111111111)</f>
        <v>0.39236111111111099</v>
      </c>
      <c r="J46" s="3">
        <f ca="1">IFERROR(__xludf.DUMMYFUNCTION("""COMPUTED_VALUE"""),0.396527777777777)</f>
        <v>0.39652777777777698</v>
      </c>
      <c r="K46" s="3">
        <f ca="1">IFERROR(__xludf.DUMMYFUNCTION("""COMPUTED_VALUE"""),0.401388888888888)</f>
        <v>0.40138888888888802</v>
      </c>
      <c r="M46" s="3">
        <f t="shared" ref="M46:V46" ca="1" si="24">B46+0.5</f>
        <v>0.86111111111111094</v>
      </c>
      <c r="N46" s="3">
        <f t="shared" ca="1" si="24"/>
        <v>0.86458333333333304</v>
      </c>
      <c r="O46" s="3">
        <f t="shared" ca="1" si="24"/>
        <v>0.86736111111111103</v>
      </c>
      <c r="P46" s="3">
        <f t="shared" ca="1" si="24"/>
        <v>0.87291666666666601</v>
      </c>
      <c r="Q46" s="3">
        <f t="shared" ca="1" si="24"/>
        <v>0.87777777777777699</v>
      </c>
      <c r="R46" s="3">
        <f t="shared" ca="1" si="24"/>
        <v>0.88263888888888797</v>
      </c>
      <c r="S46" s="3">
        <f t="shared" ca="1" si="24"/>
        <v>0.88888888888888795</v>
      </c>
      <c r="T46" s="3">
        <f t="shared" ca="1" si="24"/>
        <v>0.89236111111111094</v>
      </c>
      <c r="U46" s="3">
        <f t="shared" ca="1" si="24"/>
        <v>0.89652777777777692</v>
      </c>
      <c r="V46" s="3">
        <f t="shared" ca="1" si="24"/>
        <v>0.90138888888888802</v>
      </c>
      <c r="W46" s="4">
        <f t="shared" ca="1" si="0"/>
        <v>4.027777777777708E-2</v>
      </c>
    </row>
    <row r="47" spans="1:23" ht="15.75" customHeight="1" x14ac:dyDescent="0.15">
      <c r="A47" s="2" t="s">
        <v>253</v>
      </c>
      <c r="B47" s="3">
        <f ca="1">IFERROR(__xludf.DUMMYFUNCTION("SPLIT(A47,"" "")"),0.375)</f>
        <v>0.375</v>
      </c>
      <c r="C47" s="3">
        <f ca="1">IFERROR(__xludf.DUMMYFUNCTION("""COMPUTED_VALUE"""),0.378472222222222)</f>
        <v>0.37847222222222199</v>
      </c>
      <c r="D47" s="3">
        <f ca="1">IFERROR(__xludf.DUMMYFUNCTION("""COMPUTED_VALUE"""),0.38125)</f>
        <v>0.38124999999999998</v>
      </c>
      <c r="E47" s="3">
        <f ca="1">IFERROR(__xludf.DUMMYFUNCTION("""COMPUTED_VALUE"""),0.386805555555555)</f>
        <v>0.38680555555555501</v>
      </c>
      <c r="F47" s="3">
        <f ca="1">IFERROR(__xludf.DUMMYFUNCTION("""COMPUTED_VALUE"""),0.391666666666666)</f>
        <v>0.391666666666666</v>
      </c>
      <c r="G47" s="3">
        <f ca="1">IFERROR(__xludf.DUMMYFUNCTION("""COMPUTED_VALUE"""),0.396527777777777)</f>
        <v>0.39652777777777698</v>
      </c>
      <c r="H47" s="3">
        <f ca="1">IFERROR(__xludf.DUMMYFUNCTION("""COMPUTED_VALUE"""),0.402777777777777)</f>
        <v>0.40277777777777701</v>
      </c>
      <c r="I47" s="3">
        <f ca="1">IFERROR(__xludf.DUMMYFUNCTION("""COMPUTED_VALUE"""),0.40625)</f>
        <v>0.40625</v>
      </c>
      <c r="J47" s="3">
        <f ca="1">IFERROR(__xludf.DUMMYFUNCTION("""COMPUTED_VALUE"""),0.410416666666666)</f>
        <v>0.41041666666666599</v>
      </c>
      <c r="K47" s="3">
        <f ca="1">IFERROR(__xludf.DUMMYFUNCTION("""COMPUTED_VALUE"""),0.415277777777777)</f>
        <v>0.41527777777777702</v>
      </c>
      <c r="M47" s="3">
        <f t="shared" ref="M47:V47" ca="1" si="25">B47+0.5</f>
        <v>0.875</v>
      </c>
      <c r="N47" s="3">
        <f t="shared" ca="1" si="25"/>
        <v>0.87847222222222199</v>
      </c>
      <c r="O47" s="3">
        <f t="shared" ca="1" si="25"/>
        <v>0.88124999999999998</v>
      </c>
      <c r="P47" s="3">
        <f t="shared" ca="1" si="25"/>
        <v>0.88680555555555496</v>
      </c>
      <c r="Q47" s="3">
        <f t="shared" ca="1" si="25"/>
        <v>0.89166666666666594</v>
      </c>
      <c r="R47" s="3">
        <f t="shared" ca="1" si="25"/>
        <v>0.89652777777777692</v>
      </c>
      <c r="S47" s="3">
        <f t="shared" ca="1" si="25"/>
        <v>0.90277777777777701</v>
      </c>
      <c r="T47" s="3">
        <f t="shared" ca="1" si="25"/>
        <v>0.90625</v>
      </c>
      <c r="U47" s="3">
        <f t="shared" ca="1" si="25"/>
        <v>0.91041666666666599</v>
      </c>
      <c r="V47" s="3">
        <f t="shared" ca="1" si="25"/>
        <v>0.91527777777777697</v>
      </c>
      <c r="W47" s="4">
        <f t="shared" ca="1" si="0"/>
        <v>4.0277777777776969E-2</v>
      </c>
    </row>
    <row r="48" spans="1:23" ht="15.75" customHeight="1" x14ac:dyDescent="0.15">
      <c r="A48" s="2" t="s">
        <v>254</v>
      </c>
      <c r="B48" s="3">
        <f ca="1">IFERROR(__xludf.DUMMYFUNCTION("SPLIT(A48,"" "")"),0.388888888888888)</f>
        <v>0.38888888888888801</v>
      </c>
      <c r="C48" s="3">
        <f ca="1">IFERROR(__xludf.DUMMYFUNCTION("""COMPUTED_VALUE"""),0.392361111111111)</f>
        <v>0.39236111111111099</v>
      </c>
      <c r="D48" s="3">
        <f ca="1">IFERROR(__xludf.DUMMYFUNCTION("""COMPUTED_VALUE"""),0.395138888888888)</f>
        <v>0.39513888888888798</v>
      </c>
      <c r="E48" s="3">
        <f ca="1">IFERROR(__xludf.DUMMYFUNCTION("""COMPUTED_VALUE"""),0.400694444444444)</f>
        <v>0.40069444444444402</v>
      </c>
      <c r="F48" s="3">
        <f ca="1">IFERROR(__xludf.DUMMYFUNCTION("""COMPUTED_VALUE"""),0.405555555555555)</f>
        <v>0.405555555555555</v>
      </c>
      <c r="G48" s="3">
        <f ca="1">IFERROR(__xludf.DUMMYFUNCTION("""COMPUTED_VALUE"""),0.410416666666666)</f>
        <v>0.41041666666666599</v>
      </c>
      <c r="H48" s="3">
        <f ca="1">IFERROR(__xludf.DUMMYFUNCTION("""COMPUTED_VALUE"""),0.416666666666666)</f>
        <v>0.41666666666666602</v>
      </c>
      <c r="I48" s="3">
        <f ca="1">IFERROR(__xludf.DUMMYFUNCTION("""COMPUTED_VALUE"""),0.420138888888888)</f>
        <v>0.42013888888888801</v>
      </c>
      <c r="J48" s="3">
        <f ca="1">IFERROR(__xludf.DUMMYFUNCTION("""COMPUTED_VALUE"""),0.424305555555555)</f>
        <v>0.42430555555555499</v>
      </c>
      <c r="K48" s="3">
        <f ca="1">IFERROR(__xludf.DUMMYFUNCTION("""COMPUTED_VALUE"""),0.429166666666666)</f>
        <v>0.42916666666666597</v>
      </c>
      <c r="M48" s="3">
        <f t="shared" ref="M48:V48" ca="1" si="26">B48+0.5</f>
        <v>0.88888888888888795</v>
      </c>
      <c r="N48" s="3">
        <f t="shared" ca="1" si="26"/>
        <v>0.89236111111111094</v>
      </c>
      <c r="O48" s="3">
        <f t="shared" ca="1" si="26"/>
        <v>0.89513888888888804</v>
      </c>
      <c r="P48" s="3">
        <f t="shared" ca="1" si="26"/>
        <v>0.90069444444444402</v>
      </c>
      <c r="Q48" s="3">
        <f t="shared" ca="1" si="26"/>
        <v>0.905555555555555</v>
      </c>
      <c r="R48" s="3">
        <f t="shared" ca="1" si="26"/>
        <v>0.91041666666666599</v>
      </c>
      <c r="S48" s="3">
        <f t="shared" ca="1" si="26"/>
        <v>0.91666666666666607</v>
      </c>
      <c r="T48" s="3">
        <f t="shared" ca="1" si="26"/>
        <v>0.92013888888888795</v>
      </c>
      <c r="U48" s="3">
        <f t="shared" ca="1" si="26"/>
        <v>0.92430555555555505</v>
      </c>
      <c r="V48" s="3">
        <f t="shared" ca="1" si="26"/>
        <v>0.92916666666666603</v>
      </c>
      <c r="W48" s="4">
        <f t="shared" ca="1" si="0"/>
        <v>4.0277777777778079E-2</v>
      </c>
    </row>
    <row r="49" spans="1:23" ht="15.75" customHeight="1" x14ac:dyDescent="0.15">
      <c r="A49" s="2" t="s">
        <v>255</v>
      </c>
      <c r="B49" s="3">
        <f ca="1">IFERROR(__xludf.DUMMYFUNCTION("SPLIT(A49,"" "")"),0.402777777777777)</f>
        <v>0.40277777777777701</v>
      </c>
      <c r="C49" s="3">
        <f ca="1">IFERROR(__xludf.DUMMYFUNCTION("""COMPUTED_VALUE"""),0.40625)</f>
        <v>0.40625</v>
      </c>
      <c r="D49" s="3">
        <f ca="1">IFERROR(__xludf.DUMMYFUNCTION("""COMPUTED_VALUE"""),0.409027777777777)</f>
        <v>0.40902777777777699</v>
      </c>
      <c r="E49" s="3">
        <f ca="1">IFERROR(__xludf.DUMMYFUNCTION("""COMPUTED_VALUE"""),0.414583333333333)</f>
        <v>0.41458333333333303</v>
      </c>
      <c r="F49" s="3">
        <f ca="1">IFERROR(__xludf.DUMMYFUNCTION("""COMPUTED_VALUE"""),0.419444444444444)</f>
        <v>0.41944444444444401</v>
      </c>
      <c r="G49" s="3">
        <f ca="1">IFERROR(__xludf.DUMMYFUNCTION("""COMPUTED_VALUE"""),0.424305555555555)</f>
        <v>0.42430555555555499</v>
      </c>
      <c r="H49" s="3">
        <f ca="1">IFERROR(__xludf.DUMMYFUNCTION("""COMPUTED_VALUE"""),0.430555555555555)</f>
        <v>0.43055555555555503</v>
      </c>
      <c r="I49" s="3">
        <f ca="1">IFERROR(__xludf.DUMMYFUNCTION("""COMPUTED_VALUE"""),0.434027777777777)</f>
        <v>0.43402777777777701</v>
      </c>
      <c r="J49" s="3">
        <f ca="1">IFERROR(__xludf.DUMMYFUNCTION("""COMPUTED_VALUE"""),0.438194444444444)</f>
        <v>0.438194444444444</v>
      </c>
      <c r="K49" s="3">
        <f ca="1">IFERROR(__xludf.DUMMYFUNCTION("""COMPUTED_VALUE"""),0.443055555555555)</f>
        <v>0.44305555555555498</v>
      </c>
      <c r="M49" s="3">
        <f t="shared" ref="M49:V49" ca="1" si="27">B49+0.5</f>
        <v>0.90277777777777701</v>
      </c>
      <c r="N49" s="3">
        <f t="shared" ca="1" si="27"/>
        <v>0.90625</v>
      </c>
      <c r="O49" s="3">
        <f t="shared" ca="1" si="27"/>
        <v>0.90902777777777699</v>
      </c>
      <c r="P49" s="3">
        <f t="shared" ca="1" si="27"/>
        <v>0.91458333333333308</v>
      </c>
      <c r="Q49" s="3">
        <f t="shared" ca="1" si="27"/>
        <v>0.91944444444444406</v>
      </c>
      <c r="R49" s="3">
        <f t="shared" ca="1" si="27"/>
        <v>0.92430555555555505</v>
      </c>
      <c r="S49" s="3">
        <f t="shared" ca="1" si="27"/>
        <v>0.93055555555555503</v>
      </c>
      <c r="T49" s="3">
        <f t="shared" ca="1" si="27"/>
        <v>0.93402777777777701</v>
      </c>
      <c r="U49" s="3">
        <f t="shared" ca="1" si="27"/>
        <v>0.938194444444444</v>
      </c>
      <c r="V49" s="3">
        <f t="shared" ca="1" si="27"/>
        <v>0.94305555555555498</v>
      </c>
      <c r="W49" s="4">
        <f t="shared" ca="1" si="0"/>
        <v>4.0277777777777968E-2</v>
      </c>
    </row>
    <row r="50" spans="1:23" ht="15.75" customHeight="1" x14ac:dyDescent="0.15">
      <c r="A50" s="2" t="s">
        <v>256</v>
      </c>
      <c r="B50" s="3">
        <f ca="1">IFERROR(__xludf.DUMMYFUNCTION("SPLIT(A50,"" "")"),0.416666666666666)</f>
        <v>0.41666666666666602</v>
      </c>
      <c r="C50" s="3">
        <f ca="1">IFERROR(__xludf.DUMMYFUNCTION("""COMPUTED_VALUE"""),0.420138888888888)</f>
        <v>0.42013888888888801</v>
      </c>
      <c r="D50" s="3">
        <f ca="1">IFERROR(__xludf.DUMMYFUNCTION("""COMPUTED_VALUE"""),0.422916666666666)</f>
        <v>0.422916666666666</v>
      </c>
      <c r="E50" s="3">
        <f ca="1">IFERROR(__xludf.DUMMYFUNCTION("""COMPUTED_VALUE"""),0.428472222222222)</f>
        <v>0.42847222222222198</v>
      </c>
      <c r="F50" s="3">
        <f ca="1">IFERROR(__xludf.DUMMYFUNCTION("""COMPUTED_VALUE"""),0.433333333333333)</f>
        <v>0.43333333333333302</v>
      </c>
      <c r="G50" s="3">
        <f ca="1">IFERROR(__xludf.DUMMYFUNCTION("""COMPUTED_VALUE"""),0.438194444444444)</f>
        <v>0.438194444444444</v>
      </c>
      <c r="H50" s="3">
        <f ca="1">IFERROR(__xludf.DUMMYFUNCTION("""COMPUTED_VALUE"""),0.444444444444444)</f>
        <v>0.44444444444444398</v>
      </c>
      <c r="I50" s="3">
        <f ca="1">IFERROR(__xludf.DUMMYFUNCTION("""COMPUTED_VALUE"""),0.447916666666666)</f>
        <v>0.44791666666666602</v>
      </c>
      <c r="J50" s="3">
        <f ca="1">IFERROR(__xludf.DUMMYFUNCTION("""COMPUTED_VALUE"""),0.452083333333333)</f>
        <v>0.452083333333333</v>
      </c>
      <c r="K50" s="3">
        <f ca="1">IFERROR(__xludf.DUMMYFUNCTION("""COMPUTED_VALUE"""),0.456944444444444)</f>
        <v>0.45694444444444399</v>
      </c>
      <c r="M50" s="3">
        <f t="shared" ref="M50:V50" ca="1" si="28">B50+0.5</f>
        <v>0.91666666666666607</v>
      </c>
      <c r="N50" s="3">
        <f t="shared" ca="1" si="28"/>
        <v>0.92013888888888795</v>
      </c>
      <c r="O50" s="3">
        <f t="shared" ca="1" si="28"/>
        <v>0.92291666666666594</v>
      </c>
      <c r="P50" s="3">
        <f t="shared" ca="1" si="28"/>
        <v>0.92847222222222192</v>
      </c>
      <c r="Q50" s="3">
        <f t="shared" ca="1" si="28"/>
        <v>0.93333333333333302</v>
      </c>
      <c r="R50" s="3">
        <f t="shared" ca="1" si="28"/>
        <v>0.938194444444444</v>
      </c>
      <c r="S50" s="3">
        <f t="shared" ca="1" si="28"/>
        <v>0.94444444444444398</v>
      </c>
      <c r="T50" s="3">
        <f t="shared" ca="1" si="28"/>
        <v>0.94791666666666607</v>
      </c>
      <c r="U50" s="3">
        <f t="shared" ca="1" si="28"/>
        <v>0.95208333333333295</v>
      </c>
      <c r="V50" s="3">
        <f t="shared" ca="1" si="28"/>
        <v>0.95694444444444393</v>
      </c>
      <c r="W50" s="4">
        <f t="shared" ca="1" si="0"/>
        <v>4.0277777777777857E-2</v>
      </c>
    </row>
    <row r="51" spans="1:23" ht="15.75" customHeight="1" x14ac:dyDescent="0.15">
      <c r="A51" s="2" t="s">
        <v>257</v>
      </c>
      <c r="B51" s="3">
        <f ca="1">IFERROR(__xludf.DUMMYFUNCTION("SPLIT(A51,"" "")"),0.4375)</f>
        <v>0.4375</v>
      </c>
      <c r="C51" s="3">
        <f ca="1">IFERROR(__xludf.DUMMYFUNCTION("""COMPUTED_VALUE"""),0.440972222222222)</f>
        <v>0.44097222222222199</v>
      </c>
      <c r="D51" s="3">
        <f ca="1">IFERROR(__xludf.DUMMYFUNCTION("""COMPUTED_VALUE"""),0.44375)</f>
        <v>0.44374999999999998</v>
      </c>
      <c r="E51" s="3">
        <f ca="1">IFERROR(__xludf.DUMMYFUNCTION("""COMPUTED_VALUE"""),0.449305555555555)</f>
        <v>0.44930555555555501</v>
      </c>
      <c r="F51" s="3">
        <f ca="1">IFERROR(__xludf.DUMMYFUNCTION("""COMPUTED_VALUE"""),0.452777777777777)</f>
        <v>0.452777777777777</v>
      </c>
      <c r="G51" s="3">
        <f ca="1">IFERROR(__xludf.DUMMYFUNCTION("""COMPUTED_VALUE"""),0.456944444444444)</f>
        <v>0.45694444444444399</v>
      </c>
      <c r="H51" s="3">
        <f ca="1">IFERROR(__xludf.DUMMYFUNCTION("""COMPUTED_VALUE"""),0.463194444444444)</f>
        <v>0.46319444444444402</v>
      </c>
      <c r="I51" s="3">
        <f ca="1">IFERROR(__xludf.DUMMYFUNCTION("""COMPUTED_VALUE"""),0.466666666666666)</f>
        <v>0.46666666666666601</v>
      </c>
      <c r="J51" s="3">
        <f ca="1">IFERROR(__xludf.DUMMYFUNCTION("""COMPUTED_VALUE"""),0.470833333333333)</f>
        <v>0.47083333333333299</v>
      </c>
      <c r="K51" s="3">
        <f ca="1">IFERROR(__xludf.DUMMYFUNCTION("""COMPUTED_VALUE"""),0.475)</f>
        <v>0.47499999999999998</v>
      </c>
      <c r="M51" s="3">
        <f t="shared" ref="M51:V51" ca="1" si="29">B51+0.5</f>
        <v>0.9375</v>
      </c>
      <c r="N51" s="3">
        <f t="shared" ca="1" si="29"/>
        <v>0.94097222222222199</v>
      </c>
      <c r="O51" s="3">
        <f t="shared" ca="1" si="29"/>
        <v>0.94374999999999998</v>
      </c>
      <c r="P51" s="3">
        <f t="shared" ca="1" si="29"/>
        <v>0.94930555555555496</v>
      </c>
      <c r="Q51" s="3">
        <f t="shared" ca="1" si="29"/>
        <v>0.95277777777777706</v>
      </c>
      <c r="R51" s="3">
        <f t="shared" ca="1" si="29"/>
        <v>0.95694444444444393</v>
      </c>
      <c r="S51" s="3">
        <f t="shared" ca="1" si="29"/>
        <v>0.96319444444444402</v>
      </c>
      <c r="T51" s="3">
        <f t="shared" ca="1" si="29"/>
        <v>0.96666666666666601</v>
      </c>
      <c r="U51" s="3">
        <f t="shared" ca="1" si="29"/>
        <v>0.97083333333333299</v>
      </c>
      <c r="V51" s="3">
        <f t="shared" ca="1" si="29"/>
        <v>0.97499999999999998</v>
      </c>
      <c r="W51" s="4">
        <f t="shared" ca="1" si="0"/>
        <v>3.7499999999999978E-2</v>
      </c>
    </row>
    <row r="52" spans="1:23" ht="15.75" customHeight="1" x14ac:dyDescent="0.15">
      <c r="A52" s="2" t="s">
        <v>258</v>
      </c>
      <c r="B52" s="3">
        <f ca="1">IFERROR(__xludf.DUMMYFUNCTION("SPLIT(A52,"" "")"),0.458333333333333)</f>
        <v>0.45833333333333298</v>
      </c>
      <c r="C52" s="3">
        <f ca="1">IFERROR(__xludf.DUMMYFUNCTION("""COMPUTED_VALUE"""),0.461805555555555)</f>
        <v>0.46180555555555503</v>
      </c>
      <c r="D52" s="3">
        <f ca="1">IFERROR(__xludf.DUMMYFUNCTION("""COMPUTED_VALUE"""),0.464583333333333)</f>
        <v>0.46458333333333302</v>
      </c>
      <c r="E52" s="3">
        <f ca="1">IFERROR(__xludf.DUMMYFUNCTION("""COMPUTED_VALUE"""),0.470138888888888)</f>
        <v>0.470138888888888</v>
      </c>
      <c r="F52" s="3">
        <f ca="1">IFERROR(__xludf.DUMMYFUNCTION("""COMPUTED_VALUE"""),0.473611111111111)</f>
        <v>0.47361111111111098</v>
      </c>
      <c r="G52" s="3">
        <f ca="1">IFERROR(__xludf.DUMMYFUNCTION("""COMPUTED_VALUE"""),0.477777777777777)</f>
        <v>0.47777777777777702</v>
      </c>
      <c r="H52" s="3">
        <f ca="1">IFERROR(__xludf.DUMMYFUNCTION("""COMPUTED_VALUE"""),0.484027777777777)</f>
        <v>0.484027777777777</v>
      </c>
      <c r="I52" s="3">
        <f ca="1">IFERROR(__xludf.DUMMYFUNCTION("""COMPUTED_VALUE"""),0.4875)</f>
        <v>0.48749999999999999</v>
      </c>
      <c r="J52" s="3">
        <f ca="1">IFERROR(__xludf.DUMMYFUNCTION("""COMPUTED_VALUE"""),0.491666666666666)</f>
        <v>0.49166666666666597</v>
      </c>
      <c r="K52" s="3">
        <f ca="1">IFERROR(__xludf.DUMMYFUNCTION("""COMPUTED_VALUE"""),0.495833333333333)</f>
        <v>0.49583333333333302</v>
      </c>
      <c r="M52" s="3">
        <f t="shared" ref="M52:V52" ca="1" si="30">B52+0.5</f>
        <v>0.95833333333333304</v>
      </c>
      <c r="N52" s="3">
        <f t="shared" ca="1" si="30"/>
        <v>0.96180555555555503</v>
      </c>
      <c r="O52" s="3">
        <f t="shared" ca="1" si="30"/>
        <v>0.96458333333333302</v>
      </c>
      <c r="P52" s="3">
        <f t="shared" ca="1" si="30"/>
        <v>0.970138888888888</v>
      </c>
      <c r="Q52" s="3">
        <f t="shared" ca="1" si="30"/>
        <v>0.97361111111111098</v>
      </c>
      <c r="R52" s="3">
        <f t="shared" ca="1" si="30"/>
        <v>0.97777777777777697</v>
      </c>
      <c r="S52" s="3">
        <f t="shared" ca="1" si="30"/>
        <v>0.98402777777777706</v>
      </c>
      <c r="T52" s="3">
        <f t="shared" ca="1" si="30"/>
        <v>0.98750000000000004</v>
      </c>
      <c r="U52" s="3">
        <f t="shared" ca="1" si="30"/>
        <v>0.99166666666666603</v>
      </c>
      <c r="V52" s="3">
        <f t="shared" ca="1" si="30"/>
        <v>0.99583333333333302</v>
      </c>
      <c r="W52" s="4">
        <f t="shared" ca="1" si="0"/>
        <v>3.7499999999999978E-2</v>
      </c>
    </row>
    <row r="53" spans="1:23" ht="13" x14ac:dyDescent="0.15">
      <c r="A53" s="2" t="s">
        <v>259</v>
      </c>
      <c r="B53" s="3">
        <f ca="1">IFERROR(__xludf.DUMMYFUNCTION("SPLIT(A53,"" "")"),0.479166666666666)</f>
        <v>0.47916666666666602</v>
      </c>
      <c r="C53" s="3">
        <f ca="1">IFERROR(__xludf.DUMMYFUNCTION("""COMPUTED_VALUE"""),0.482638888888888)</f>
        <v>0.48263888888888801</v>
      </c>
      <c r="D53" s="3">
        <f ca="1">IFERROR(__xludf.DUMMYFUNCTION("""COMPUTED_VALUE"""),0.485416666666666)</f>
        <v>0.485416666666666</v>
      </c>
      <c r="E53" s="3">
        <f ca="1">IFERROR(__xludf.DUMMYFUNCTION("""COMPUTED_VALUE"""),0.490972222222222)</f>
        <v>0.49097222222222198</v>
      </c>
      <c r="F53" s="3">
        <f ca="1">IFERROR(__xludf.DUMMYFUNCTION("""COMPUTED_VALUE"""),0.494444444444444)</f>
        <v>0.49444444444444402</v>
      </c>
      <c r="G53" s="3">
        <f ca="1">IFERROR(__xludf.DUMMYFUNCTION("""COMPUTED_VALUE"""),0.498611111111111)</f>
        <v>0.49861111111111101</v>
      </c>
      <c r="H53" s="3">
        <f ca="1">IFERROR(__xludf.DUMMYFUNCTION("""COMPUTED_VALUE"""),0.504861111111111)</f>
        <v>0.50486111111111098</v>
      </c>
      <c r="I53" s="3">
        <f ca="1">IFERROR(__xludf.DUMMYFUNCTION("""COMPUTED_VALUE"""),0.508333333333333)</f>
        <v>0.50833333333333297</v>
      </c>
      <c r="J53" s="3">
        <f ca="1">IFERROR(__xludf.DUMMYFUNCTION("""COMPUTED_VALUE"""),0.5125)</f>
        <v>0.51249999999999996</v>
      </c>
      <c r="K53" s="3">
        <f ca="1">IFERROR(__xludf.DUMMYFUNCTION("""COMPUTED_VALUE"""),0.516666666666666)</f>
        <v>0.51666666666666605</v>
      </c>
      <c r="M53" s="3">
        <f t="shared" ref="M53:V53" ca="1" si="31">B53+0.5</f>
        <v>0.97916666666666607</v>
      </c>
      <c r="N53" s="3">
        <f t="shared" ca="1" si="31"/>
        <v>0.98263888888888795</v>
      </c>
      <c r="O53" s="3">
        <f t="shared" ca="1" si="31"/>
        <v>0.98541666666666594</v>
      </c>
      <c r="P53" s="3">
        <f t="shared" ca="1" si="31"/>
        <v>0.99097222222222192</v>
      </c>
      <c r="Q53" s="3">
        <f t="shared" ca="1" si="31"/>
        <v>0.99444444444444402</v>
      </c>
      <c r="R53" s="3">
        <f t="shared" ca="1" si="31"/>
        <v>0.99861111111111101</v>
      </c>
      <c r="S53" s="3">
        <f t="shared" ca="1" si="31"/>
        <v>1.004861111111111</v>
      </c>
      <c r="T53" s="3">
        <f t="shared" ca="1" si="31"/>
        <v>1.0083333333333329</v>
      </c>
      <c r="U53" s="3">
        <f t="shared" ca="1" si="31"/>
        <v>1.0125</v>
      </c>
      <c r="V53" s="3">
        <f t="shared" ca="1" si="31"/>
        <v>1.0166666666666662</v>
      </c>
      <c r="W53" s="4">
        <f t="shared" ca="1" si="0"/>
        <v>3.7500000000000089E-2</v>
      </c>
    </row>
    <row r="54" spans="1:23" ht="13" x14ac:dyDescent="0.15">
      <c r="A54" s="2" t="s">
        <v>260</v>
      </c>
      <c r="B54" s="3">
        <f ca="1">IFERROR(__xludf.DUMMYFUNCTION("SPLIT(A54,"" "")"),0.5)</f>
        <v>0.5</v>
      </c>
      <c r="C54" s="3">
        <f ca="1">IFERROR(__xludf.DUMMYFUNCTION("""COMPUTED_VALUE"""),0.503472222222222)</f>
        <v>0.50347222222222199</v>
      </c>
      <c r="D54" s="3">
        <f ca="1">IFERROR(__xludf.DUMMYFUNCTION("""COMPUTED_VALUE"""),0.50625)</f>
        <v>0.50624999999999998</v>
      </c>
      <c r="E54" s="3">
        <f ca="1">IFERROR(__xludf.DUMMYFUNCTION("""COMPUTED_VALUE"""),0.511805555555555)</f>
        <v>0.51180555555555496</v>
      </c>
      <c r="F54" s="3">
        <f ca="1">IFERROR(__xludf.DUMMYFUNCTION("""COMPUTED_VALUE"""),0.515277777777777)</f>
        <v>0.51527777777777695</v>
      </c>
      <c r="G54" s="3">
        <f ca="1">IFERROR(__xludf.DUMMYFUNCTION("""COMPUTED_VALUE"""),0.519444444444444)</f>
        <v>0.51944444444444404</v>
      </c>
      <c r="H54" s="3">
        <f ca="1">IFERROR(__xludf.DUMMYFUNCTION("""COMPUTED_VALUE"""),0.525694444444444)</f>
        <v>0.52569444444444402</v>
      </c>
      <c r="I54" s="3">
        <f ca="1">IFERROR(__xludf.DUMMYFUNCTION("""COMPUTED_VALUE"""),0.529166666666666)</f>
        <v>0.52916666666666601</v>
      </c>
      <c r="J54" s="3">
        <f ca="1">IFERROR(__xludf.DUMMYFUNCTION("""COMPUTED_VALUE"""),0.533333333333333)</f>
        <v>0.53333333333333299</v>
      </c>
      <c r="K54" s="3">
        <f ca="1">IFERROR(__xludf.DUMMYFUNCTION("""COMPUTED_VALUE"""),0.5375)</f>
        <v>0.53749999999999998</v>
      </c>
      <c r="M54" s="3">
        <f t="shared" ref="M54:V54" ca="1" si="32">B54+0.5</f>
        <v>1</v>
      </c>
      <c r="N54" s="3">
        <f t="shared" ca="1" si="32"/>
        <v>1.0034722222222219</v>
      </c>
      <c r="O54" s="3">
        <f t="shared" ca="1" si="32"/>
        <v>1.0062500000000001</v>
      </c>
      <c r="P54" s="3">
        <f t="shared" ca="1" si="32"/>
        <v>1.011805555555555</v>
      </c>
      <c r="Q54" s="3">
        <f t="shared" ca="1" si="32"/>
        <v>1.0152777777777771</v>
      </c>
      <c r="R54" s="3">
        <f t="shared" ca="1" si="32"/>
        <v>1.0194444444444439</v>
      </c>
      <c r="S54" s="3">
        <f t="shared" ca="1" si="32"/>
        <v>1.025694444444444</v>
      </c>
      <c r="T54" s="3">
        <f t="shared" ca="1" si="32"/>
        <v>1.0291666666666659</v>
      </c>
      <c r="U54" s="3">
        <f t="shared" ca="1" si="32"/>
        <v>1.033333333333333</v>
      </c>
      <c r="V54" s="3">
        <f t="shared" ca="1" si="32"/>
        <v>1.0375000000000001</v>
      </c>
      <c r="W54" s="4">
        <f t="shared" ca="1" si="0"/>
        <v>3.7500000000000089E-2</v>
      </c>
    </row>
    <row r="55" spans="1:23" ht="13" x14ac:dyDescent="0.15">
      <c r="W55" s="4">
        <f ca="1">SUM(W2:W54)</f>
        <v>2.506944444444442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18_MF_NB</vt:lpstr>
      <vt:lpstr>18_MF_SB</vt:lpstr>
      <vt:lpstr>18_Weekends_NB</vt:lpstr>
      <vt:lpstr>18_Weekend_SB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Zora Kramer</cp:lastModifiedBy>
  <dcterms:created xsi:type="dcterms:W3CDTF">2026-04-19T18:31:13Z</dcterms:created>
  <dcterms:modified xsi:type="dcterms:W3CDTF">2026-04-19T18:31:13Z</dcterms:modified>
</cp:coreProperties>
</file>